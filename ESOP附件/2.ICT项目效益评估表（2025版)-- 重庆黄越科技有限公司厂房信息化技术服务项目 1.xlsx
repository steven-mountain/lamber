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 activeTab="1"/>
  </bookViews>
  <sheets>
    <sheet name="1-填表说明和指标解释" sheetId="13" r:id="rId1"/>
    <sheet name="2-ICT项目评估结果" sheetId="5" r:id="rId2"/>
    <sheet name="3-直接经济效益评估表" sheetId="11" r:id="rId3"/>
    <sheet name="4-专线及各产品预算表" sheetId="12" r:id="rId4"/>
    <sheet name="5-标准产品投入和公允价值核算细则（如有更新，以更新后的规则）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phoenixl</author>
  </authors>
  <commentList>
    <comment ref="C33" authorId="0">
      <text>
        <r>
          <rPr>
            <sz val="12"/>
            <rFont val="宋体"/>
            <charset val="134"/>
          </rPr>
          <t>将未来有限期预期收益折算成现值的比率。</t>
        </r>
      </text>
    </comment>
    <comment ref="O33" authorId="0">
      <text>
        <r>
          <rPr>
            <sz val="12"/>
            <rFont val="宋体"/>
            <scheme val="minor"/>
            <charset val="0"/>
          </rPr>
          <t>^n表示n次方。</t>
        </r>
      </text>
    </comment>
    <comment ref="E44" authorId="0">
      <text>
        <r>
          <rPr>
            <sz val="12"/>
            <rFont val="宋体"/>
            <charset val="134"/>
          </rPr>
          <t>根据第1-10年的现金流（收入）和折现率而定的投资净现值。</t>
        </r>
      </text>
    </comment>
    <comment ref="G44" authorId="0">
      <text>
        <r>
          <rPr>
            <sz val="12"/>
            <rFont val="宋体"/>
            <scheme val="minor"/>
            <charset val="0"/>
          </rPr>
          <t>根据第1-10年的现金流（支出）和折现率而定的投资净现值。</t>
        </r>
      </text>
    </comment>
    <comment ref="S45" authorId="0">
      <text>
        <r>
          <rPr>
            <sz val="12"/>
            <rFont val="宋体"/>
            <scheme val="minor"/>
            <charset val="0"/>
          </rPr>
          <t>返回P34到Q43区域内，第Q46行第1列的内容。</t>
        </r>
      </text>
    </comment>
    <comment ref="T45" authorId="0">
      <text>
        <r>
          <rPr>
            <sz val="12"/>
            <rFont val="宋体"/>
            <scheme val="minor"/>
            <charset val="0"/>
          </rPr>
          <t>满足P34到P43区域中，表格内容等于T的行数，无匹配则返回0.</t>
        </r>
      </text>
    </comment>
    <comment ref="O52" authorId="0">
      <text>
        <r>
          <rPr>
            <sz val="12"/>
            <rFont val="宋体"/>
            <scheme val="minor"/>
            <charset val="0"/>
          </rPr>
          <t>^n表示n次方。</t>
        </r>
      </text>
    </comment>
    <comment ref="E63" authorId="0">
      <text>
        <r>
          <rPr>
            <sz val="12"/>
            <rFont val="宋体"/>
            <charset val="134"/>
          </rPr>
          <t>根据第1-10年的现金流（收入）和折现率而定的投资净现值。</t>
        </r>
      </text>
    </comment>
    <comment ref="G63" authorId="0">
      <text>
        <r>
          <rPr>
            <sz val="12"/>
            <rFont val="宋体"/>
            <scheme val="minor"/>
            <charset val="0"/>
          </rPr>
          <t>根据第1-10年的现金流（支出）和折现率而定的投资净现值。</t>
        </r>
      </text>
    </comment>
  </commentList>
</comments>
</file>

<file path=xl/sharedStrings.xml><?xml version="1.0" encoding="utf-8"?>
<sst xmlns="http://schemas.openxmlformats.org/spreadsheetml/2006/main" count="411" uniqueCount="277">
  <si>
    <t xml:space="preserve"> 填写规则</t>
  </si>
  <si>
    <t>一、“ICT投资效益评估表”共4部分，包括填表说明和指标解释、ICT项目评估结果、直接经济效益评估表、专线及产品预算表（建设+维护）。</t>
  </si>
  <si>
    <r>
      <rPr>
        <sz val="10"/>
        <rFont val="微软雅黑"/>
        <charset val="134"/>
      </rPr>
      <t>二、</t>
    </r>
    <r>
      <rPr>
        <b/>
        <sz val="10"/>
        <color rgb="FFFF0000"/>
        <rFont val="微软雅黑"/>
        <charset val="134"/>
      </rPr>
      <t>需填写部分</t>
    </r>
    <r>
      <rPr>
        <sz val="10"/>
        <rFont val="微软雅黑"/>
        <charset val="134"/>
      </rPr>
      <t>：ICT项目评估结果、直接经济效益评估表、专线及各产品预算表（建设+维护）。</t>
    </r>
  </si>
  <si>
    <r>
      <rPr>
        <sz val="10"/>
        <rFont val="微软雅黑"/>
        <charset val="134"/>
      </rPr>
      <t>三、</t>
    </r>
    <r>
      <rPr>
        <b/>
        <sz val="10"/>
        <rFont val="微软雅黑"/>
        <charset val="134"/>
      </rPr>
      <t>项目收入</t>
    </r>
    <r>
      <rPr>
        <sz val="10"/>
        <rFont val="微软雅黑"/>
        <charset val="134"/>
      </rPr>
      <t>：包含IT收入和CT收入。“合同约定收款”应为依据与客户方合同，在合同期限内我公司确认取得的收入总额。确认项目现金流入时，应考虑项目建设期及业务实际开通时间等因素，从实际产生收入之时开始计算各项收入，并按合同付费要求按年填写实际现金流。</t>
    </r>
  </si>
  <si>
    <r>
      <rPr>
        <sz val="10"/>
        <rFont val="微软雅黑"/>
        <charset val="134"/>
      </rPr>
      <t>四、</t>
    </r>
    <r>
      <rPr>
        <b/>
        <sz val="10"/>
        <rFont val="微软雅黑"/>
        <charset val="134"/>
      </rPr>
      <t>项目支出</t>
    </r>
    <r>
      <rPr>
        <sz val="10"/>
        <rFont val="微软雅黑"/>
        <charset val="134"/>
      </rPr>
      <t>：包含IT支出、CT支出和其他支出。 项目成本支出应完整考虑合同期内所有相关建设、维护、更新等费用，按实际支出发生时间计入项目现金流出。“IT部分支出”包括“建设/服务支出”、“运行维护费用”、“其他支出”。“运行维护费用”应包含合同期内的所有运行维护支出，包括维护费用、设备更新费用、等其他需由我公司支付的费用。原则上在与合作方签订ICT项目协议时，其维保条件应满足我公司与客户单位协议中的维护标准及时限要求。若合作方提供的维保不能满足业主需求，确需增加维保的，该部分的维保成本应包含在维护费用内。综合类成本，指社会渠道酬金、相关管理费用等；非本项目新增支出成本分摊指IT/CT的量纲、间接成本分摊。</t>
    </r>
  </si>
  <si>
    <t>五、请需求单位根据实际情况填写。</t>
  </si>
  <si>
    <t>指标解释</t>
  </si>
  <si>
    <t>序号</t>
  </si>
  <si>
    <t>指标名称</t>
  </si>
  <si>
    <t>评价体系</t>
  </si>
  <si>
    <t>定义</t>
  </si>
  <si>
    <t>计算方法</t>
  </si>
  <si>
    <t>项目净现值</t>
  </si>
  <si>
    <t>集团/省内要求指标</t>
  </si>
  <si>
    <t>项目未来现金流入现值与未来现金流出现值的差额</t>
  </si>
  <si>
    <t>项目现金流入现值-项目现金流出现值</t>
  </si>
  <si>
    <t>净现值率</t>
  </si>
  <si>
    <t>项目净现值与总投资现值的比率</t>
  </si>
  <si>
    <t>净现值率=净现值/项目总投资现值*100%，净现值为建设期及生产期各年净现金流量现值合计值，总投资现值为建设及生产期内的投资现金流出的累计现值。</t>
  </si>
  <si>
    <t>项目毛利率
（项目整体利润率）</t>
  </si>
  <si>
    <t>项目毛利与项目收入的比率</t>
  </si>
  <si>
    <t>毛利率=毛利/项目总收入*100%，毛利=收入-投入。</t>
  </si>
  <si>
    <t>动态回收期</t>
  </si>
  <si>
    <t>考虑资金的时间价值时收回初始投入所需的时间。</t>
  </si>
  <si>
    <t>（累计净现金流量现值最后一次转正值的月份-1）+上一月累计净现金流量现值的绝对值/最后一次转正值月份净现金流量的现值。</t>
  </si>
  <si>
    <t>内部收益率</t>
  </si>
  <si>
    <t>集团要求指标</t>
  </si>
  <si>
    <t>资金流入现值总额与资金流出现值总额相等、净现值等于零时的折现率。</t>
  </si>
  <si>
    <t>根据接近于零的相邻正负两个净现值的折现率i1、i2，相应的净现值为NPV1、NPV2，用线性内插法求得内部收益率。内插公式为：IRR=i1+NPV1(i2-i1)/(NPV1-NPV2)。</t>
  </si>
  <si>
    <t>IT净现值率</t>
  </si>
  <si>
    <t>省内要求指标</t>
  </si>
  <si>
    <t>IT净现值与原始IT投入现值的比率</t>
  </si>
  <si>
    <t>IT净现值率=IT净现值/IT总投入现值*100%</t>
  </si>
  <si>
    <t>静态回收期</t>
  </si>
  <si>
    <t>不考虑资金的时间价值时，收回初始投入所需的时间</t>
  </si>
  <si>
    <t>（累计净现金流量最后一次转正值的月份-1）+上一月累计净现金流量的绝对值/最后一次转正值月份现金流量指。</t>
  </si>
  <si>
    <t>IT毛利率
（IT部分利润率）</t>
  </si>
  <si>
    <t>IT毛利与IT收入的比率</t>
  </si>
  <si>
    <t>IT毛利率=(IT收入-IT成本）/IT收入</t>
  </si>
  <si>
    <t>项目整体直接毛利率</t>
  </si>
  <si>
    <t>指直接毛利与项目收入的比率。</t>
  </si>
  <si>
    <t>直接毛利指项目收入减去项目支出（不含综合类成本和非本项目新增支出成本分摊）后的余额。</t>
  </si>
  <si>
    <t>IT部分直接毛利率</t>
  </si>
  <si>
    <t>指IT部分利润与项目收入的比率。I</t>
  </si>
  <si>
    <t>IT类项目收入减去IT类项目支出（不含综合类成本和非本项目新增支出成本分摊）后的余额。</t>
  </si>
  <si>
    <t>IT服务部分直接毛利率</t>
  </si>
  <si>
    <t>指IT服务部分直接毛利与项目收入的比率。</t>
  </si>
  <si>
    <t>IT服务部分直接毛利指IT类项目收入中服务部分减去IT类项目支出中服务部分（不含综合类成本和非本项目新增支出成本分摊）后的余额。</t>
  </si>
  <si>
    <t>项目通服直接毛利率</t>
  </si>
  <si>
    <t>指通服直接毛利与项目通服收入的比率。</t>
  </si>
  <si>
    <t>项目通服收入减去项目支出（不含硬件类成本、综合类成本和非本项目新增支出成本分摊）后的余额。</t>
  </si>
  <si>
    <t>ICT项目效益评估</t>
  </si>
  <si>
    <t>项目基本信息</t>
  </si>
  <si>
    <t>相关人员确认</t>
  </si>
  <si>
    <t>项目名称</t>
  </si>
  <si>
    <t>重庆黄越科技有限公司厂房信息化技术服务项目</t>
  </si>
  <si>
    <t>客户经理/
项目经理确认</t>
  </si>
  <si>
    <t>客户单位名称</t>
  </si>
  <si>
    <t>重庆黄越科技有限公司</t>
  </si>
  <si>
    <t>是否为续签项目</t>
  </si>
  <si>
    <t>否</t>
  </si>
  <si>
    <t>商务模式</t>
  </si>
  <si>
    <t>服务购销</t>
  </si>
  <si>
    <t>合同年限（年）</t>
  </si>
  <si>
    <t>资金来源</t>
  </si>
  <si>
    <t>成本</t>
  </si>
  <si>
    <t>项目总投入（元/不含税）</t>
  </si>
  <si>
    <t>解方/产品经理确认</t>
  </si>
  <si>
    <t>IT投入（建设+维护）</t>
  </si>
  <si>
    <t>CT实际投入（建设+维护）</t>
  </si>
  <si>
    <t>非IT/CT投入</t>
  </si>
  <si>
    <t>综合类成本</t>
  </si>
  <si>
    <t>项目总收入（元/不含税）</t>
  </si>
  <si>
    <t>项目经理确认</t>
  </si>
  <si>
    <t>IT收入</t>
  </si>
  <si>
    <t>CT收入</t>
  </si>
  <si>
    <t>非IT/CT收入</t>
  </si>
  <si>
    <t>项目效益评估结果</t>
  </si>
  <si>
    <t>评价指标</t>
  </si>
  <si>
    <t>评估结果</t>
  </si>
  <si>
    <t>折现率</t>
  </si>
  <si>
    <t>项目净现值（元）</t>
  </si>
  <si>
    <t>项目净现值率（%)</t>
  </si>
  <si>
    <t>动态回收期（年）</t>
  </si>
  <si>
    <t>项目毛利率（%）</t>
  </si>
  <si>
    <t>内部收益率（%）（投资模式）</t>
  </si>
  <si>
    <t>IT净现值率（%）</t>
  </si>
  <si>
    <t>静态回收期（年）</t>
  </si>
  <si>
    <t>IT毛利率</t>
  </si>
  <si>
    <t xml:space="preserve">                                                                                         </t>
  </si>
  <si>
    <t xml:space="preserve">   立项决策层级</t>
  </si>
  <si>
    <t>请明确对应决策层级</t>
  </si>
  <si>
    <t>根据项目投入金额和效益评估结果进行分级授权决策</t>
  </si>
  <si>
    <t>需求单位领导签批/需求单位总办会决策/政企客户部总办会决策/公司分管领导专题办公会决策/公司总办会决策</t>
  </si>
  <si>
    <t>业务价值评估</t>
  </si>
  <si>
    <t>指标说明</t>
  </si>
  <si>
    <t>指标达成情况描述</t>
  </si>
  <si>
    <t>客户规模</t>
  </si>
  <si>
    <t>主要评价集团客户的级别，规模和影响力。</t>
  </si>
  <si>
    <t>标杆效应及对CT拉动效应分析</t>
  </si>
  <si>
    <t>主要考核项目对于行业的影响作用；对CT拉动的影响作用。</t>
  </si>
  <si>
    <t>政府重点建设项目</t>
  </si>
  <si>
    <t>主要考核政府对于项目的重视程度。</t>
  </si>
  <si>
    <t>项目可能涉及5G应用场景的复制</t>
  </si>
  <si>
    <t>主要评价项目是否涉及5G应用场景，能否复制已有的应用场景，并对5G应用场景有其他方面的扩展。</t>
  </si>
  <si>
    <t>对市场占有率的影响</t>
  </si>
  <si>
    <t>主要评价项目投资对于扩大市场占有率和影响力的带动作用。</t>
  </si>
  <si>
    <t>其他业务价值</t>
  </si>
  <si>
    <t>如有其他业务价值，可视需求增加，请自行补充。</t>
  </si>
  <si>
    <t>分表：经济效益评估表（2025版）（所有数据请按照不含税填写）</t>
  </si>
  <si>
    <t>项目概况</t>
  </si>
  <si>
    <t>产权归属</t>
  </si>
  <si>
    <t>收入侧合同
约定收入</t>
  </si>
  <si>
    <t>IT/移动云收入</t>
  </si>
  <si>
    <t>系统集成服务收入</t>
  </si>
  <si>
    <t>测算说明</t>
  </si>
  <si>
    <t>请明确税率</t>
  </si>
  <si>
    <t>维保收入</t>
  </si>
  <si>
    <t>设备销售收入</t>
  </si>
  <si>
    <t>设备租赁收入</t>
  </si>
  <si>
    <t>其他收入（代销设备、代理采购手续费等）</t>
  </si>
  <si>
    <t>移动云-定制化收入</t>
  </si>
  <si>
    <t>专线收入</t>
  </si>
  <si>
    <t>请明确该项具体类别及税率</t>
  </si>
  <si>
    <t>产品收入</t>
  </si>
  <si>
    <t>工程施工收入等</t>
  </si>
  <si>
    <t>总计</t>
  </si>
  <si>
    <t>IT/云收入+CT收入+非IT/CT收入</t>
  </si>
  <si>
    <t>支出侧合同
约定支出</t>
  </si>
  <si>
    <t>IT/移动云投入</t>
  </si>
  <si>
    <t>建设/服务支出</t>
  </si>
  <si>
    <t>主要设备/甲供材料</t>
  </si>
  <si>
    <t>施工</t>
  </si>
  <si>
    <t>勘察设计/预备费</t>
  </si>
  <si>
    <t>集成服务</t>
  </si>
  <si>
    <t>其他投入</t>
  </si>
  <si>
    <t>运行维护费用</t>
  </si>
  <si>
    <t>维护费用</t>
  </si>
  <si>
    <t>其他运行支出（电费等）</t>
  </si>
  <si>
    <t>中标服务费</t>
  </si>
  <si>
    <t>厂家报价</t>
  </si>
  <si>
    <t>设计院成本评估费</t>
  </si>
  <si>
    <t>甄选费</t>
  </si>
  <si>
    <t>第三方审计评估费</t>
  </si>
  <si>
    <t>上浮</t>
  </si>
  <si>
    <t>CT投入</t>
  </si>
  <si>
    <t>CT实际投入</t>
  </si>
  <si>
    <t>专线建设</t>
  </si>
  <si>
    <t>甄选限价</t>
  </si>
  <si>
    <t>专线维护</t>
  </si>
  <si>
    <t>根据公司采购结果据实测算</t>
  </si>
  <si>
    <r>
      <rPr>
        <sz val="14"/>
        <color theme="1"/>
        <rFont val="宋体"/>
        <charset val="134"/>
      </rPr>
      <t>其他产品成本
（</t>
    </r>
    <r>
      <rPr>
        <b/>
        <sz val="14"/>
        <color rgb="FFFF0000"/>
        <rFont val="宋体"/>
        <charset val="134"/>
      </rPr>
      <t>具体测算规则详见Sheet5</t>
    </r>
    <r>
      <rPr>
        <sz val="14"/>
        <color theme="1"/>
        <rFont val="宋体"/>
        <charset val="134"/>
      </rPr>
      <t>）</t>
    </r>
  </si>
  <si>
    <r>
      <rPr>
        <sz val="14"/>
        <color theme="1"/>
        <rFont val="宋体"/>
        <charset val="134"/>
      </rPr>
      <t>CT虚拟投入
（</t>
    </r>
    <r>
      <rPr>
        <b/>
        <sz val="14"/>
        <color rgb="FFFF0000"/>
        <rFont val="宋体"/>
        <charset val="134"/>
      </rPr>
      <t>续签需考虑</t>
    </r>
    <r>
      <rPr>
        <sz val="14"/>
        <color theme="1"/>
        <rFont val="宋体"/>
        <charset val="134"/>
      </rPr>
      <t>）</t>
    </r>
  </si>
  <si>
    <t>专线带宽成本</t>
  </si>
  <si>
    <t>专线/其他产品续签成本</t>
  </si>
  <si>
    <t>工程施工投入</t>
  </si>
  <si>
    <t>工程施工投入等</t>
  </si>
  <si>
    <t>融合营销成本</t>
  </si>
  <si>
    <t>渠道酬金</t>
  </si>
  <si>
    <t>其他管理费用等</t>
  </si>
  <si>
    <t>IT投入+CT投入+非IT/CT投入+综合类成本</t>
  </si>
  <si>
    <t>评价参数</t>
  </si>
  <si>
    <t>净现金流量</t>
  </si>
  <si>
    <t>累计净现金流量</t>
  </si>
  <si>
    <t>净现金流量现值</t>
  </si>
  <si>
    <t>累计净现金流量现值</t>
  </si>
  <si>
    <t>项目年现金流</t>
  </si>
  <si>
    <t>第一年</t>
  </si>
  <si>
    <t>现金流入</t>
  </si>
  <si>
    <t>项目现金流出</t>
  </si>
  <si>
    <t>第二年</t>
  </si>
  <si>
    <t>第三年</t>
  </si>
  <si>
    <t>第四年</t>
  </si>
  <si>
    <t>第五年</t>
  </si>
  <si>
    <t>第六年</t>
  </si>
  <si>
    <t>第七年</t>
  </si>
  <si>
    <t>第八年</t>
  </si>
  <si>
    <t>第九年</t>
  </si>
  <si>
    <t>第十年</t>
  </si>
  <si>
    <t>累计净现值</t>
  </si>
  <si>
    <t>项目总投资现值</t>
  </si>
  <si>
    <t>净现值</t>
  </si>
  <si>
    <t>动态回收期(年)</t>
  </si>
  <si>
    <t>毛利润率</t>
  </si>
  <si>
    <t>IT部分效益结果(请注意需剔除CT部分收入/投入)</t>
  </si>
  <si>
    <t>IT部分总收入</t>
  </si>
  <si>
    <t>IT部分总支出</t>
  </si>
  <si>
    <t>IT净现金流量</t>
  </si>
  <si>
    <t>IT累计净现金流量</t>
  </si>
  <si>
    <t>IT净现金流量现值</t>
  </si>
  <si>
    <t>IT累计净现金流量现值</t>
  </si>
  <si>
    <t>IT年现金流</t>
  </si>
  <si>
    <t>IT现金流入</t>
  </si>
  <si>
    <t>IT现金流出</t>
  </si>
  <si>
    <t>累计总投资现值</t>
  </si>
  <si>
    <t>IT净现值</t>
  </si>
  <si>
    <t>1、贴现系数（折现率）取值统一调整为5.5%；成本开支项目如涉及垫资贴现系数（折现率）取值8%；</t>
  </si>
  <si>
    <t>2、项目所有收入和支出明细的测算必须有充分的依据和明确的数值；</t>
  </si>
  <si>
    <t>3、项目的支出应完整考虑合同期内所有维保及设备更换的投入；</t>
  </si>
  <si>
    <t>4、为项目所发生的配套投资需纳入项目效益评价中；</t>
  </si>
  <si>
    <t>5、市公司将对项目所有收入和支出明细进行审核及后评估，分公司若有虚假上报的情况，将追究相关责任；</t>
  </si>
  <si>
    <t>6、本表浅红色部分为分公司填写，浅蓝色部分为自动生成，严禁对表格内结构公式进行修改或删除。</t>
  </si>
  <si>
    <t>说明：需粘贴产品经理预算邮件回复/设计院专线建设勘察费用截图</t>
  </si>
  <si>
    <t>CT类别</t>
  </si>
  <si>
    <t>产品资费档次</t>
  </si>
  <si>
    <t>成本预算
（建设+维护）</t>
  </si>
  <si>
    <t>合同签约单价</t>
  </si>
  <si>
    <t>签约数量</t>
  </si>
  <si>
    <t>互联网专线</t>
  </si>
  <si>
    <t>数据专线</t>
  </si>
  <si>
    <t>云视讯</t>
  </si>
  <si>
    <t>物联卡</t>
  </si>
  <si>
    <t>…</t>
  </si>
  <si>
    <t>产品名称</t>
  </si>
  <si>
    <t>投入核算规则</t>
  </si>
  <si>
    <t>公允价值</t>
  </si>
  <si>
    <t>专线类</t>
  </si>
  <si>
    <t>建设投资+运营维护成本
20年全市平均建设成本：数据专线（城镇：4625元/条；农村：7242元/条；平均:5329元/条）
20年全市平均维护成本：285元/条/年</t>
  </si>
  <si>
    <t>本地专线按总部下发的目录价最低折扣0.7折计算。（政企通〔2021〕13 号）
跨省专线：按总部下发的刚性管控价计算。</t>
  </si>
  <si>
    <t xml:space="preserve">500M以下：建设投资+维护成本
500M及以上：按建设投资+维护成本+带宽价值底线价（5400元/1G/月）
</t>
  </si>
  <si>
    <t>按各带宽档次互联网专线基线价计算</t>
  </si>
  <si>
    <t>企业宽带</t>
  </si>
  <si>
    <t>建设+装维+终端成本
安装费：城区58元/条，农村70元/条
维护费：2元/月/条</t>
  </si>
  <si>
    <t>100M-80元/月
200M-120元/月
500M-300元/月
1000M-600元 /月</t>
  </si>
  <si>
    <t>智能组网</t>
  </si>
  <si>
    <t>终端设备成本：CMIOT-AX18-基础企业版，含税价203元
安装成本：城区58元/点位，农村70元/点位
无维护额外成本；</t>
  </si>
  <si>
    <t>20元/月/点位</t>
  </si>
  <si>
    <t>集团短彩信</t>
  </si>
  <si>
    <t>短信：0.04元/条</t>
  </si>
  <si>
    <t>短信：0.071元/条</t>
  </si>
  <si>
    <t>云MAS</t>
  </si>
  <si>
    <t>5G多媒体消息</t>
  </si>
  <si>
    <t>本网：0.096元/条；异网：0.12元/条</t>
  </si>
  <si>
    <t>0.26元/条</t>
  </si>
  <si>
    <t>集团语音</t>
  </si>
  <si>
    <t>呼叫中心：线路部分（同数据专线）+通信费（0.06元/分钟）
固话：线路部分（同数据专线）+话机</t>
  </si>
  <si>
    <t>呼叫中心：线路部分（同数据专线）+通信费（0.12元/分钟）
固话：按标准套餐档次（18-100元/月）+超套的通信费（0.10元/分钟）
（注：通信费收入分摊结果不低于总部刚性管控价0.06元/分钟）</t>
  </si>
  <si>
    <t>智能呼叫中心</t>
  </si>
  <si>
    <t>集团刚性管控：功能费+通信费（呼入呼出0.06元/分钟）</t>
  </si>
  <si>
    <t>集团公司刚性管控底价</t>
  </si>
  <si>
    <t>按标准月资费计算
（注：收入分摊结果不低于集团公司刚性管控底价）</t>
  </si>
  <si>
    <t>移动云</t>
  </si>
  <si>
    <t>标准产品：集团公司管控底价（现为5折）
特殊项目：市公司与云能中心单独核算</t>
  </si>
  <si>
    <t>按标准月资费计算
（注：收入分摊结果不低于集团公司管控底价，现在为5折，以最新文件为准）</t>
  </si>
  <si>
    <t>IDC</t>
  </si>
  <si>
    <t>按投资+运营成本+带宽成本计算</t>
  </si>
  <si>
    <t>按每档次最低折扣价格计算：
机位服务（175元/月/U）
机柜服务（3450元/月/机架，4KW）
机柜服务（6034元/月/机架，7KW） 
带宽价值：按IDC资费底价计算带宽价值。</t>
  </si>
  <si>
    <t>OneNET</t>
  </si>
  <si>
    <t>按采购价格计算</t>
  </si>
  <si>
    <t>按标准售价计算</t>
  </si>
  <si>
    <t>按终端+安装维护+终端延保成本计算</t>
  </si>
  <si>
    <t>按每款终端的标准月功能费计算</t>
  </si>
  <si>
    <t>和对讲</t>
  </si>
  <si>
    <t>按终端采购成本计算</t>
  </si>
  <si>
    <t>按每款终端的标准月功能费计算（以和对讲指导意见发文为准）</t>
  </si>
  <si>
    <t>千里眼</t>
  </si>
  <si>
    <t>按终端+安装维护+云存储成本+终端延保成本计算</t>
  </si>
  <si>
    <t>按每一型号的标准月功能费及云存储档次的月功能费计算</t>
  </si>
  <si>
    <t>和商务TV</t>
  </si>
  <si>
    <t>终端成本+牌照费（OTT：5.5元/月/户；IPTV：6.5元/月/户）+定制费成本</t>
  </si>
  <si>
    <t>按目录价20元/户/月计算+定制化成本</t>
  </si>
  <si>
    <t>企业视频彩铃</t>
  </si>
  <si>
    <t>4元/户/月</t>
  </si>
  <si>
    <t>6元/户/月</t>
  </si>
  <si>
    <t>移动办公</t>
  </si>
  <si>
    <t>按标准资费档次计算
云办公：按20元/户计算</t>
  </si>
  <si>
    <t>和交通</t>
  </si>
  <si>
    <t>车务通</t>
  </si>
  <si>
    <t>按每款终端的标准月功能费计算（以车务通指导意见发文为准）</t>
  </si>
  <si>
    <t>行车卫士</t>
  </si>
  <si>
    <t>按每款终端的标准月功能费计算（以行车卫士指导意见发文为准）</t>
  </si>
  <si>
    <t>高精度定位</t>
  </si>
  <si>
    <t>不低于与上研院结算（结算规则集团还在明确）</t>
  </si>
  <si>
    <t>标准价格七折</t>
  </si>
  <si>
    <t>大数据</t>
  </si>
  <si>
    <t>大数据短信：0.05元/条</t>
  </si>
  <si>
    <t>按标准销售价格计算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</si>
</sst>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;[Red]\-#,##0.00\ "/>
    <numFmt numFmtId="178" formatCode="0.00_);[Red]\(0.00\)"/>
    <numFmt numFmtId="179" formatCode="0.0_ "/>
    <numFmt numFmtId="180" formatCode="0.0%"/>
  </numFmts>
  <fonts count="52">
    <font>
      <sz val="11"/>
      <color theme="1"/>
      <name val="宋体"/>
      <charset val="134"/>
      <scheme val="minor"/>
    </font>
    <font>
      <b/>
      <sz val="11"/>
      <color theme="4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b/>
      <sz val="14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name val="宋体"/>
      <charset val="134"/>
    </font>
    <font>
      <b/>
      <sz val="18"/>
      <name val="黑体"/>
      <charset val="134"/>
    </font>
    <font>
      <b/>
      <sz val="14"/>
      <name val="黑体"/>
      <charset val="134"/>
    </font>
    <font>
      <b/>
      <sz val="14"/>
      <name val="宋体"/>
      <charset val="134"/>
    </font>
    <font>
      <b/>
      <sz val="14"/>
      <name val="仿宋"/>
      <charset val="134"/>
    </font>
    <font>
      <b/>
      <sz val="14"/>
      <color rgb="FFFF0000"/>
      <name val="仿宋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0000"/>
      <name val="宋体"/>
      <charset val="134"/>
    </font>
    <font>
      <sz val="14"/>
      <color theme="1"/>
      <name val="微软雅黑"/>
      <charset val="134"/>
    </font>
    <font>
      <sz val="12"/>
      <name val="微软雅黑"/>
      <charset val="134"/>
    </font>
    <font>
      <b/>
      <sz val="18"/>
      <color indexed="8"/>
      <name val="微软雅黑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indexed="8"/>
      <name val="微软雅黑"/>
      <charset val="134"/>
    </font>
    <font>
      <sz val="14"/>
      <name val="微软雅黑"/>
      <charset val="134"/>
    </font>
    <font>
      <b/>
      <sz val="14"/>
      <color indexed="8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0"/>
      <color rgb="FFFF0000"/>
      <name val="微软雅黑"/>
      <charset val="134"/>
    </font>
    <font>
      <sz val="12"/>
      <name val="宋体"/>
      <charset val="134"/>
    </font>
    <font>
      <sz val="12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8" borderId="51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52" applyNumberFormat="0" applyFill="0" applyAlignment="0" applyProtection="0">
      <alignment vertical="center"/>
    </xf>
    <xf numFmtId="0" fontId="35" fillId="0" borderId="52" applyNumberFormat="0" applyFill="0" applyAlignment="0" applyProtection="0">
      <alignment vertical="center"/>
    </xf>
    <xf numFmtId="0" fontId="36" fillId="0" borderId="5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9" borderId="54" applyNumberFormat="0" applyAlignment="0" applyProtection="0">
      <alignment vertical="center"/>
    </xf>
    <xf numFmtId="0" fontId="38" fillId="20" borderId="55" applyNumberFormat="0" applyAlignment="0" applyProtection="0">
      <alignment vertical="center"/>
    </xf>
    <xf numFmtId="0" fontId="39" fillId="20" borderId="54" applyNumberFormat="0" applyAlignment="0" applyProtection="0">
      <alignment vertical="center"/>
    </xf>
    <xf numFmtId="0" fontId="40" fillId="21" borderId="56" applyNumberFormat="0" applyAlignment="0" applyProtection="0">
      <alignment vertical="center"/>
    </xf>
    <xf numFmtId="0" fontId="41" fillId="0" borderId="57" applyNumberFormat="0" applyFill="0" applyAlignment="0" applyProtection="0">
      <alignment vertical="center"/>
    </xf>
    <xf numFmtId="0" fontId="42" fillId="0" borderId="58" applyNumberFormat="0" applyFill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6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0" borderId="0">
      <alignment vertical="center"/>
    </xf>
  </cellStyleXfs>
  <cellXfs count="265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0" borderId="0" xfId="49" applyFont="1" applyProtection="1">
      <alignment vertical="center"/>
      <protection locked="0"/>
    </xf>
    <xf numFmtId="0" fontId="8" fillId="0" borderId="0" xfId="49" applyFont="1">
      <alignment vertical="center"/>
    </xf>
    <xf numFmtId="0" fontId="8" fillId="0" borderId="0" xfId="49" applyFont="1" applyProtection="1">
      <alignment vertical="center"/>
      <protection hidden="1"/>
    </xf>
    <xf numFmtId="0" fontId="9" fillId="0" borderId="0" xfId="49" applyFont="1" applyAlignment="1" applyProtection="1">
      <alignment horizontal="left" vertical="center"/>
      <protection hidden="1"/>
    </xf>
    <xf numFmtId="0" fontId="10" fillId="0" borderId="0" xfId="49" applyFont="1" applyAlignment="1" applyProtection="1">
      <alignment horizontal="left" vertical="center"/>
      <protection hidden="1"/>
    </xf>
    <xf numFmtId="0" fontId="11" fillId="0" borderId="0" xfId="49" applyFont="1" applyAlignment="1" applyProtection="1">
      <alignment horizontal="center" vertical="center"/>
      <protection locked="0"/>
    </xf>
    <xf numFmtId="0" fontId="12" fillId="0" borderId="0" xfId="49" applyFont="1" applyAlignment="1">
      <alignment horizontal="center" vertical="center"/>
    </xf>
    <xf numFmtId="0" fontId="8" fillId="0" borderId="7" xfId="49" applyFont="1" applyBorder="1" applyAlignment="1" applyProtection="1">
      <alignment horizontal="center" vertical="center"/>
      <protection hidden="1"/>
    </xf>
    <xf numFmtId="0" fontId="8" fillId="4" borderId="8" xfId="49" applyFont="1" applyFill="1" applyBorder="1" applyAlignment="1" applyProtection="1">
      <alignment horizontal="center" vertical="center"/>
      <protection hidden="1"/>
    </xf>
    <xf numFmtId="0" fontId="8" fillId="4" borderId="9" xfId="49" applyFont="1" applyFill="1" applyBorder="1" applyAlignment="1" applyProtection="1">
      <alignment horizontal="center" vertical="center"/>
      <protection hidden="1"/>
    </xf>
    <xf numFmtId="0" fontId="8" fillId="4" borderId="10" xfId="49" applyFont="1" applyFill="1" applyBorder="1" applyAlignment="1" applyProtection="1">
      <alignment horizontal="center" vertical="center"/>
      <protection hidden="1"/>
    </xf>
    <xf numFmtId="0" fontId="8" fillId="0" borderId="0" xfId="49" applyFont="1" applyAlignment="1" applyProtection="1">
      <alignment horizontal="center" vertical="center"/>
      <protection hidden="1"/>
    </xf>
    <xf numFmtId="0" fontId="12" fillId="0" borderId="0" xfId="49" applyFont="1" applyAlignment="1" applyProtection="1">
      <alignment horizontal="center" vertical="center"/>
      <protection hidden="1"/>
    </xf>
    <xf numFmtId="0" fontId="13" fillId="0" borderId="0" xfId="49" applyFont="1" applyProtection="1">
      <alignment vertical="center"/>
      <protection hidden="1"/>
    </xf>
    <xf numFmtId="0" fontId="8" fillId="0" borderId="11" xfId="49" applyFont="1" applyBorder="1" applyAlignment="1" applyProtection="1">
      <alignment horizontal="center" vertical="center" wrapText="1"/>
      <protection hidden="1"/>
    </xf>
    <xf numFmtId="0" fontId="8" fillId="0" borderId="12" xfId="49" applyFont="1" applyBorder="1" applyAlignment="1" applyProtection="1">
      <alignment horizontal="center" vertical="center" wrapText="1"/>
      <protection hidden="1"/>
    </xf>
    <xf numFmtId="0" fontId="8" fillId="0" borderId="13" xfId="49" applyFont="1" applyBorder="1" applyAlignment="1" applyProtection="1">
      <alignment horizontal="center" vertical="center"/>
      <protection hidden="1"/>
    </xf>
    <xf numFmtId="0" fontId="8" fillId="0" borderId="7" xfId="49" applyFont="1" applyBorder="1" applyProtection="1">
      <alignment vertical="center"/>
      <protection hidden="1"/>
    </xf>
    <xf numFmtId="176" fontId="8" fillId="4" borderId="7" xfId="49" applyNumberFormat="1" applyFont="1" applyFill="1" applyBorder="1" applyAlignment="1" applyProtection="1">
      <alignment horizontal="center" vertical="center"/>
      <protection hidden="1"/>
    </xf>
    <xf numFmtId="0" fontId="8" fillId="4" borderId="7" xfId="49" applyFont="1" applyFill="1" applyBorder="1" applyAlignment="1" applyProtection="1">
      <alignment horizontal="left" vertical="center"/>
      <protection hidden="1"/>
    </xf>
    <xf numFmtId="0" fontId="8" fillId="0" borderId="0" xfId="49" applyFont="1" applyAlignment="1" applyProtection="1">
      <alignment horizontal="left" vertical="center"/>
      <protection hidden="1"/>
    </xf>
    <xf numFmtId="0" fontId="8" fillId="0" borderId="14" xfId="49" applyFont="1" applyBorder="1" applyAlignment="1" applyProtection="1">
      <alignment horizontal="center" vertical="center" wrapText="1"/>
      <protection hidden="1"/>
    </xf>
    <xf numFmtId="0" fontId="8" fillId="0" borderId="15" xfId="49" applyFont="1" applyBorder="1" applyAlignment="1" applyProtection="1">
      <alignment horizontal="center" vertical="center" wrapText="1"/>
      <protection hidden="1"/>
    </xf>
    <xf numFmtId="0" fontId="8" fillId="0" borderId="16" xfId="49" applyFont="1" applyBorder="1" applyAlignment="1" applyProtection="1">
      <alignment horizontal="center" vertical="center"/>
      <protection hidden="1"/>
    </xf>
    <xf numFmtId="0" fontId="8" fillId="4" borderId="7" xfId="49" applyFont="1" applyFill="1" applyBorder="1" applyAlignment="1" applyProtection="1">
      <alignment horizontal="center" vertical="center"/>
      <protection hidden="1"/>
    </xf>
    <xf numFmtId="0" fontId="8" fillId="0" borderId="8" xfId="49" applyFont="1" applyBorder="1" applyAlignment="1" applyProtection="1">
      <alignment horizontal="left" vertical="center"/>
      <protection hidden="1"/>
    </xf>
    <xf numFmtId="0" fontId="8" fillId="0" borderId="9" xfId="49" applyFont="1" applyBorder="1" applyAlignment="1" applyProtection="1">
      <alignment horizontal="left" vertical="center"/>
      <protection hidden="1"/>
    </xf>
    <xf numFmtId="0" fontId="8" fillId="0" borderId="10" xfId="49" applyFont="1" applyBorder="1" applyAlignment="1" applyProtection="1">
      <alignment horizontal="left" vertical="center"/>
      <protection hidden="1"/>
    </xf>
    <xf numFmtId="0" fontId="8" fillId="4" borderId="8" xfId="49" applyFont="1" applyFill="1" applyBorder="1" applyAlignment="1" applyProtection="1">
      <alignment horizontal="left" vertical="center"/>
      <protection hidden="1"/>
    </xf>
    <xf numFmtId="0" fontId="8" fillId="4" borderId="9" xfId="49" applyFont="1" applyFill="1" applyBorder="1" applyAlignment="1" applyProtection="1">
      <alignment horizontal="left" vertical="center"/>
      <protection hidden="1"/>
    </xf>
    <xf numFmtId="0" fontId="8" fillId="4" borderId="10" xfId="49" applyFont="1" applyFill="1" applyBorder="1" applyAlignment="1" applyProtection="1">
      <alignment horizontal="left" vertical="center"/>
      <protection hidden="1"/>
    </xf>
    <xf numFmtId="0" fontId="8" fillId="0" borderId="17" xfId="49" applyFont="1" applyBorder="1" applyAlignment="1" applyProtection="1">
      <alignment horizontal="center" vertical="center"/>
      <protection hidden="1"/>
    </xf>
    <xf numFmtId="0" fontId="13" fillId="0" borderId="0" xfId="49" applyFont="1" applyAlignment="1">
      <alignment horizontal="center" vertical="center"/>
    </xf>
    <xf numFmtId="0" fontId="8" fillId="0" borderId="0" xfId="49" applyFont="1" applyBorder="1" applyAlignment="1" applyProtection="1">
      <alignment horizontal="center" vertical="center" wrapText="1"/>
      <protection hidden="1"/>
    </xf>
    <xf numFmtId="0" fontId="8" fillId="0" borderId="18" xfId="49" applyFont="1" applyBorder="1" applyAlignment="1" applyProtection="1">
      <alignment horizontal="center" vertical="center" wrapText="1"/>
      <protection hidden="1"/>
    </xf>
    <xf numFmtId="0" fontId="8" fillId="0" borderId="19" xfId="49" applyFont="1" applyBorder="1" applyAlignment="1" applyProtection="1">
      <alignment horizontal="center" vertical="center" wrapText="1"/>
      <protection hidden="1"/>
    </xf>
    <xf numFmtId="176" fontId="8" fillId="5" borderId="7" xfId="49" applyNumberFormat="1" applyFont="1" applyFill="1" applyBorder="1" applyAlignment="1" applyProtection="1">
      <alignment horizontal="center" vertical="center"/>
      <protection hidden="1"/>
    </xf>
    <xf numFmtId="0" fontId="8" fillId="6" borderId="0" xfId="49" applyFont="1" applyFill="1" applyAlignment="1" applyProtection="1">
      <alignment horizontal="left" vertical="center"/>
      <protection hidden="1"/>
    </xf>
    <xf numFmtId="0" fontId="14" fillId="0" borderId="16" xfId="49" applyFont="1" applyBorder="1" applyAlignment="1" applyProtection="1">
      <alignment horizontal="center" vertical="center"/>
      <protection hidden="1"/>
    </xf>
    <xf numFmtId="0" fontId="8" fillId="0" borderId="13" xfId="49" applyFont="1" applyBorder="1" applyAlignment="1" applyProtection="1">
      <alignment horizontal="center" vertical="center" wrapText="1"/>
      <protection locked="0"/>
    </xf>
    <xf numFmtId="0" fontId="14" fillId="0" borderId="7" xfId="49" applyFont="1" applyBorder="1" applyAlignment="1" applyProtection="1">
      <alignment horizontal="left" vertical="center"/>
      <protection hidden="1"/>
    </xf>
    <xf numFmtId="0" fontId="8" fillId="7" borderId="7" xfId="49" applyFont="1" applyFill="1" applyBorder="1" applyAlignment="1" applyProtection="1">
      <alignment horizontal="center" vertical="center"/>
      <protection hidden="1"/>
    </xf>
    <xf numFmtId="0" fontId="8" fillId="0" borderId="16" xfId="49" applyFont="1" applyBorder="1" applyAlignment="1" applyProtection="1">
      <alignment horizontal="center" vertical="center" wrapText="1"/>
      <protection locked="0"/>
    </xf>
    <xf numFmtId="0" fontId="14" fillId="0" borderId="8" xfId="49" applyFont="1" applyBorder="1" applyAlignment="1" applyProtection="1">
      <alignment horizontal="left" vertical="center"/>
      <protection hidden="1"/>
    </xf>
    <xf numFmtId="0" fontId="14" fillId="0" borderId="10" xfId="49" applyFont="1" applyBorder="1" applyAlignment="1" applyProtection="1">
      <alignment horizontal="left" vertical="center"/>
      <protection hidden="1"/>
    </xf>
    <xf numFmtId="176" fontId="8" fillId="7" borderId="7" xfId="49" applyNumberFormat="1" applyFont="1" applyFill="1" applyBorder="1" applyAlignment="1" applyProtection="1">
      <alignment horizontal="center" vertical="center"/>
      <protection hidden="1"/>
    </xf>
    <xf numFmtId="0" fontId="8" fillId="0" borderId="17" xfId="49" applyFont="1" applyBorder="1" applyAlignment="1" applyProtection="1">
      <alignment horizontal="center" vertical="center" wrapText="1"/>
      <protection locked="0"/>
    </xf>
    <xf numFmtId="0" fontId="8" fillId="0" borderId="0" xfId="49" applyFont="1" applyAlignment="1" applyProtection="1">
      <alignment horizontal="center" vertical="center"/>
      <protection locked="0"/>
    </xf>
    <xf numFmtId="0" fontId="14" fillId="0" borderId="7" xfId="49" applyFont="1" applyBorder="1" applyAlignment="1" applyProtection="1">
      <alignment horizontal="center" vertical="center"/>
      <protection hidden="1"/>
    </xf>
    <xf numFmtId="0" fontId="14" fillId="0" borderId="13" xfId="49" applyFont="1" applyBorder="1" applyAlignment="1" applyProtection="1">
      <alignment horizontal="center" vertical="center"/>
      <protection hidden="1"/>
    </xf>
    <xf numFmtId="0" fontId="14" fillId="0" borderId="11" xfId="49" applyFont="1" applyBorder="1" applyAlignment="1" applyProtection="1">
      <alignment horizontal="left" vertical="center" wrapText="1"/>
      <protection hidden="1"/>
    </xf>
    <xf numFmtId="0" fontId="14" fillId="0" borderId="12" xfId="49" applyFont="1" applyBorder="1" applyAlignment="1" applyProtection="1">
      <alignment horizontal="left" vertical="center" wrapText="1"/>
      <protection hidden="1"/>
    </xf>
    <xf numFmtId="177" fontId="8" fillId="0" borderId="0" xfId="49" applyNumberFormat="1" applyFont="1" applyProtection="1">
      <alignment vertical="center"/>
      <protection hidden="1"/>
    </xf>
    <xf numFmtId="0" fontId="14" fillId="0" borderId="11" xfId="49" applyFont="1" applyBorder="1" applyAlignment="1" applyProtection="1">
      <alignment horizontal="center" vertical="center" wrapText="1"/>
      <protection hidden="1"/>
    </xf>
    <xf numFmtId="0" fontId="14" fillId="0" borderId="20" xfId="49" applyFont="1" applyBorder="1" applyAlignment="1" applyProtection="1">
      <alignment horizontal="left" vertical="center" wrapText="1"/>
      <protection hidden="1"/>
    </xf>
    <xf numFmtId="0" fontId="14" fillId="0" borderId="21" xfId="49" applyFont="1" applyBorder="1" applyAlignment="1" applyProtection="1">
      <alignment horizontal="left" vertical="center" wrapText="1"/>
      <protection hidden="1"/>
    </xf>
    <xf numFmtId="0" fontId="14" fillId="0" borderId="17" xfId="49" applyFont="1" applyBorder="1" applyAlignment="1" applyProtection="1">
      <alignment horizontal="center" vertical="center"/>
      <protection hidden="1"/>
    </xf>
    <xf numFmtId="0" fontId="14" fillId="0" borderId="18" xfId="49" applyFont="1" applyBorder="1" applyAlignment="1" applyProtection="1">
      <alignment horizontal="center" vertical="center"/>
      <protection hidden="1"/>
    </xf>
    <xf numFmtId="0" fontId="14" fillId="0" borderId="22" xfId="49" applyFont="1" applyBorder="1" applyAlignment="1" applyProtection="1">
      <alignment horizontal="left" vertical="center" wrapText="1"/>
      <protection hidden="1"/>
    </xf>
    <xf numFmtId="0" fontId="14" fillId="0" borderId="23" xfId="49" applyFont="1" applyBorder="1" applyAlignment="1" applyProtection="1">
      <alignment horizontal="left" vertical="center" wrapText="1"/>
      <protection hidden="1"/>
    </xf>
    <xf numFmtId="0" fontId="14" fillId="0" borderId="19" xfId="49" applyFont="1" applyBorder="1" applyAlignment="1" applyProtection="1">
      <alignment horizontal="left" vertical="center" wrapText="1"/>
      <protection hidden="1"/>
    </xf>
    <xf numFmtId="0" fontId="14" fillId="0" borderId="24" xfId="49" applyFont="1" applyBorder="1" applyAlignment="1" applyProtection="1">
      <alignment horizontal="left" vertical="center" wrapText="1"/>
      <protection hidden="1"/>
    </xf>
    <xf numFmtId="0" fontId="14" fillId="0" borderId="13" xfId="49" applyFont="1" applyBorder="1" applyAlignment="1" applyProtection="1">
      <alignment horizontal="center" vertical="center" wrapText="1"/>
      <protection hidden="1"/>
    </xf>
    <xf numFmtId="0" fontId="14" fillId="0" borderId="8" xfId="49" applyFont="1" applyBorder="1" applyAlignment="1" applyProtection="1">
      <alignment vertical="center" wrapText="1"/>
      <protection hidden="1"/>
    </xf>
    <xf numFmtId="0" fontId="14" fillId="0" borderId="19" xfId="49" applyFont="1" applyBorder="1" applyAlignment="1" applyProtection="1">
      <alignment vertical="center" wrapText="1"/>
      <protection hidden="1"/>
    </xf>
    <xf numFmtId="0" fontId="14" fillId="0" borderId="24" xfId="49" applyFont="1" applyBorder="1" applyAlignment="1" applyProtection="1">
      <alignment vertical="center" wrapText="1"/>
      <protection hidden="1"/>
    </xf>
    <xf numFmtId="0" fontId="8" fillId="0" borderId="7" xfId="49" applyFont="1" applyBorder="1" applyAlignment="1" applyProtection="1">
      <alignment horizontal="left" vertical="center"/>
      <protection locked="0"/>
    </xf>
    <xf numFmtId="0" fontId="14" fillId="0" borderId="9" xfId="49" applyFont="1" applyBorder="1" applyAlignment="1" applyProtection="1">
      <alignment horizontal="left" vertical="center"/>
      <protection hidden="1"/>
    </xf>
    <xf numFmtId="0" fontId="8" fillId="4" borderId="25" xfId="49" applyFont="1" applyFill="1" applyBorder="1" applyAlignment="1" applyProtection="1">
      <alignment horizontal="left" vertical="center"/>
      <protection hidden="1"/>
    </xf>
    <xf numFmtId="0" fontId="8" fillId="4" borderId="12" xfId="49" applyFont="1" applyFill="1" applyBorder="1" applyAlignment="1" applyProtection="1">
      <alignment horizontal="left" vertical="center"/>
      <protection hidden="1"/>
    </xf>
    <xf numFmtId="0" fontId="14" fillId="0" borderId="25" xfId="49" applyFont="1" applyBorder="1" applyAlignment="1" applyProtection="1">
      <alignment horizontal="left" vertical="center"/>
      <protection hidden="1"/>
    </xf>
    <xf numFmtId="176" fontId="8" fillId="5" borderId="13" xfId="49" applyNumberFormat="1" applyFont="1" applyFill="1" applyBorder="1" applyAlignment="1" applyProtection="1">
      <alignment horizontal="center" vertical="center"/>
      <protection hidden="1"/>
    </xf>
    <xf numFmtId="0" fontId="8" fillId="0" borderId="25" xfId="49" applyFont="1" applyBorder="1" applyAlignment="1" applyProtection="1">
      <alignment horizontal="center" vertical="center"/>
      <protection hidden="1"/>
    </xf>
    <xf numFmtId="0" fontId="15" fillId="0" borderId="7" xfId="0" applyFont="1" applyBorder="1">
      <alignment vertical="center"/>
    </xf>
    <xf numFmtId="0" fontId="8" fillId="0" borderId="18" xfId="49" applyFont="1" applyBorder="1" applyAlignment="1" applyProtection="1">
      <alignment horizontal="center" vertical="center"/>
      <protection hidden="1"/>
    </xf>
    <xf numFmtId="10" fontId="8" fillId="5" borderId="20" xfId="49" applyNumberFormat="1" applyFont="1" applyFill="1" applyBorder="1" applyAlignment="1" applyProtection="1">
      <alignment horizontal="center" vertical="center"/>
      <protection hidden="1"/>
    </xf>
    <xf numFmtId="10" fontId="8" fillId="5" borderId="26" xfId="49" applyNumberFormat="1" applyFont="1" applyFill="1" applyBorder="1" applyAlignment="1" applyProtection="1">
      <alignment horizontal="center" vertical="center"/>
      <protection hidden="1"/>
    </xf>
    <xf numFmtId="10" fontId="8" fillId="5" borderId="21" xfId="49" applyNumberFormat="1" applyFont="1" applyFill="1" applyBorder="1" applyAlignment="1" applyProtection="1">
      <alignment horizontal="center" vertical="center"/>
      <protection hidden="1"/>
    </xf>
    <xf numFmtId="10" fontId="8" fillId="5" borderId="25" xfId="49" applyNumberFormat="1" applyFont="1" applyFill="1" applyBorder="1" applyAlignment="1" applyProtection="1">
      <alignment vertical="center"/>
      <protection hidden="1"/>
    </xf>
    <xf numFmtId="9" fontId="8" fillId="0" borderId="11" xfId="49" applyNumberFormat="1" applyFont="1" applyBorder="1" applyAlignment="1" applyProtection="1">
      <alignment horizontal="center" vertical="center"/>
      <protection hidden="1"/>
    </xf>
    <xf numFmtId="9" fontId="8" fillId="0" borderId="12" xfId="49" applyNumberFormat="1" applyFont="1" applyBorder="1" applyAlignment="1" applyProtection="1">
      <alignment horizontal="center" vertical="center"/>
      <protection hidden="1"/>
    </xf>
    <xf numFmtId="9" fontId="8" fillId="0" borderId="25" xfId="49" applyNumberFormat="1" applyFont="1" applyBorder="1" applyAlignment="1" applyProtection="1">
      <alignment horizontal="center" vertical="center"/>
      <protection hidden="1"/>
    </xf>
    <xf numFmtId="0" fontId="8" fillId="0" borderId="11" xfId="49" applyFont="1" applyBorder="1" applyAlignment="1" applyProtection="1">
      <alignment horizontal="center" vertical="center"/>
      <protection hidden="1"/>
    </xf>
    <xf numFmtId="0" fontId="8" fillId="0" borderId="12" xfId="49" applyFont="1" applyBorder="1" applyAlignment="1" applyProtection="1">
      <alignment horizontal="center" vertical="center"/>
      <protection hidden="1"/>
    </xf>
    <xf numFmtId="10" fontId="8" fillId="0" borderId="0" xfId="49" applyNumberFormat="1" applyFont="1" applyAlignment="1" applyProtection="1">
      <alignment horizontal="center" vertical="center"/>
      <protection hidden="1"/>
    </xf>
    <xf numFmtId="176" fontId="8" fillId="4" borderId="7" xfId="49" applyNumberFormat="1" applyFont="1" applyFill="1" applyBorder="1" applyAlignment="1" applyProtection="1">
      <alignment horizontal="center" vertical="center" wrapText="1"/>
      <protection hidden="1"/>
    </xf>
    <xf numFmtId="176" fontId="8" fillId="4" borderId="8" xfId="49" applyNumberFormat="1" applyFont="1" applyFill="1" applyBorder="1" applyAlignment="1" applyProtection="1">
      <alignment horizontal="left" vertical="center"/>
      <protection hidden="1"/>
    </xf>
    <xf numFmtId="176" fontId="8" fillId="4" borderId="9" xfId="49" applyNumberFormat="1" applyFont="1" applyFill="1" applyBorder="1" applyAlignment="1" applyProtection="1">
      <alignment horizontal="left" vertical="center"/>
      <protection hidden="1"/>
    </xf>
    <xf numFmtId="176" fontId="8" fillId="4" borderId="10" xfId="49" applyNumberFormat="1" applyFont="1" applyFill="1" applyBorder="1" applyAlignment="1" applyProtection="1">
      <alignment horizontal="left" vertical="center"/>
      <protection hidden="1"/>
    </xf>
    <xf numFmtId="177" fontId="8" fillId="5" borderId="8" xfId="49" applyNumberFormat="1" applyFont="1" applyFill="1" applyBorder="1" applyAlignment="1" applyProtection="1">
      <alignment horizontal="center" vertical="center"/>
      <protection hidden="1"/>
    </xf>
    <xf numFmtId="177" fontId="8" fillId="5" borderId="10" xfId="49" applyNumberFormat="1" applyFont="1" applyFill="1" applyBorder="1" applyAlignment="1" applyProtection="1">
      <alignment horizontal="center" vertical="center"/>
      <protection hidden="1"/>
    </xf>
    <xf numFmtId="177" fontId="8" fillId="5" borderId="9" xfId="49" applyNumberFormat="1" applyFont="1" applyFill="1" applyBorder="1" applyAlignment="1" applyProtection="1">
      <alignment horizontal="center" vertical="center"/>
      <protection hidden="1"/>
    </xf>
    <xf numFmtId="176" fontId="8" fillId="5" borderId="8" xfId="49" applyNumberFormat="1" applyFont="1" applyFill="1" applyBorder="1" applyAlignment="1" applyProtection="1">
      <alignment horizontal="center" vertical="center"/>
      <protection hidden="1"/>
    </xf>
    <xf numFmtId="176" fontId="8" fillId="5" borderId="10" xfId="49" applyNumberFormat="1" applyFont="1" applyFill="1" applyBorder="1" applyAlignment="1" applyProtection="1">
      <alignment horizontal="center" vertical="center"/>
      <protection hidden="1"/>
    </xf>
    <xf numFmtId="0" fontId="8" fillId="0" borderId="14" xfId="49" applyFont="1" applyBorder="1" applyAlignment="1" applyProtection="1">
      <alignment horizontal="center" vertical="center"/>
      <protection hidden="1"/>
    </xf>
    <xf numFmtId="0" fontId="8" fillId="0" borderId="15" xfId="49" applyFont="1" applyBorder="1" applyAlignment="1" applyProtection="1">
      <alignment horizontal="center" vertical="center"/>
      <protection hidden="1"/>
    </xf>
    <xf numFmtId="177" fontId="8" fillId="8" borderId="8" xfId="49" applyNumberFormat="1" applyFont="1" applyFill="1" applyBorder="1" applyAlignment="1" applyProtection="1">
      <alignment horizontal="center" vertical="center"/>
      <protection hidden="1"/>
    </xf>
    <xf numFmtId="177" fontId="8" fillId="8" borderId="10" xfId="49" applyNumberFormat="1" applyFont="1" applyFill="1" applyBorder="1" applyAlignment="1" applyProtection="1">
      <alignment horizontal="center" vertical="center"/>
      <protection hidden="1"/>
    </xf>
    <xf numFmtId="177" fontId="8" fillId="7" borderId="7" xfId="49" applyNumberFormat="1" applyFont="1" applyFill="1" applyBorder="1" applyAlignment="1" applyProtection="1">
      <alignment horizontal="center" vertical="center"/>
      <protection hidden="1"/>
    </xf>
    <xf numFmtId="177" fontId="8" fillId="4" borderId="8" xfId="49" applyNumberFormat="1" applyFont="1" applyFill="1" applyBorder="1" applyAlignment="1" applyProtection="1">
      <alignment horizontal="center" vertical="center"/>
      <protection hidden="1"/>
    </xf>
    <xf numFmtId="177" fontId="8" fillId="4" borderId="9" xfId="49" applyNumberFormat="1" applyFont="1" applyFill="1" applyBorder="1" applyAlignment="1" applyProtection="1">
      <alignment horizontal="center" vertical="center"/>
      <protection hidden="1"/>
    </xf>
    <xf numFmtId="177" fontId="8" fillId="4" borderId="10" xfId="49" applyNumberFormat="1" applyFont="1" applyFill="1" applyBorder="1" applyAlignment="1" applyProtection="1">
      <alignment horizontal="center" vertical="center"/>
      <protection hidden="1"/>
    </xf>
    <xf numFmtId="0" fontId="8" fillId="0" borderId="0" xfId="49" applyFont="1" applyFill="1" applyAlignment="1" applyProtection="1">
      <alignment vertical="center"/>
      <protection hidden="1"/>
    </xf>
    <xf numFmtId="0" fontId="8" fillId="0" borderId="24" xfId="49" applyFont="1" applyBorder="1" applyAlignment="1" applyProtection="1">
      <alignment horizontal="center" vertical="center"/>
      <protection hidden="1"/>
    </xf>
    <xf numFmtId="177" fontId="8" fillId="8" borderId="7" xfId="49" applyNumberFormat="1" applyFont="1" applyFill="1" applyBorder="1" applyAlignment="1" applyProtection="1">
      <alignment horizontal="center" vertical="center"/>
      <protection hidden="1"/>
    </xf>
    <xf numFmtId="177" fontId="8" fillId="8" borderId="9" xfId="49" applyNumberFormat="1" applyFont="1" applyFill="1" applyBorder="1" applyAlignment="1" applyProtection="1">
      <alignment horizontal="center" vertical="center"/>
      <protection hidden="1"/>
    </xf>
    <xf numFmtId="0" fontId="8" fillId="0" borderId="0" xfId="49" applyFont="1" applyProtection="1">
      <alignment vertical="center"/>
      <protection locked="0" hidden="1"/>
    </xf>
    <xf numFmtId="177" fontId="8" fillId="0" borderId="0" xfId="49" applyNumberFormat="1" applyFont="1" applyProtection="1">
      <alignment vertical="center"/>
      <protection locked="0"/>
    </xf>
    <xf numFmtId="0" fontId="11" fillId="9" borderId="27" xfId="49" applyFont="1" applyFill="1" applyBorder="1" applyAlignment="1" applyProtection="1">
      <alignment horizontal="center" vertical="center"/>
      <protection hidden="1"/>
    </xf>
    <xf numFmtId="0" fontId="11" fillId="9" borderId="28" xfId="49" applyFont="1" applyFill="1" applyBorder="1" applyAlignment="1" applyProtection="1">
      <alignment horizontal="center" vertical="center"/>
      <protection hidden="1"/>
    </xf>
    <xf numFmtId="178" fontId="8" fillId="8" borderId="8" xfId="49" applyNumberFormat="1" applyFont="1" applyFill="1" applyBorder="1" applyAlignment="1" applyProtection="1">
      <alignment horizontal="center" vertical="center"/>
      <protection hidden="1"/>
    </xf>
    <xf numFmtId="178" fontId="8" fillId="8" borderId="9" xfId="49" applyNumberFormat="1" applyFont="1" applyFill="1" applyBorder="1" applyAlignment="1" applyProtection="1">
      <alignment horizontal="center" vertical="center"/>
      <protection hidden="1"/>
    </xf>
    <xf numFmtId="178" fontId="8" fillId="8" borderId="10" xfId="49" applyNumberFormat="1" applyFont="1" applyFill="1" applyBorder="1" applyAlignment="1" applyProtection="1">
      <alignment horizontal="center" vertical="center"/>
      <protection hidden="1"/>
    </xf>
    <xf numFmtId="179" fontId="8" fillId="0" borderId="0" xfId="49" applyNumberFormat="1" applyFont="1" applyAlignment="1" applyProtection="1">
      <alignment horizontal="center" vertical="center"/>
      <protection hidden="1"/>
    </xf>
    <xf numFmtId="0" fontId="11" fillId="9" borderId="29" xfId="49" applyFont="1" applyFill="1" applyBorder="1" applyAlignment="1" applyProtection="1">
      <alignment horizontal="center" vertical="center"/>
      <protection hidden="1"/>
    </xf>
    <xf numFmtId="0" fontId="11" fillId="9" borderId="30" xfId="49" applyFont="1" applyFill="1" applyBorder="1" applyAlignment="1" applyProtection="1">
      <alignment horizontal="center" vertical="center"/>
      <protection hidden="1"/>
    </xf>
    <xf numFmtId="179" fontId="8" fillId="8" borderId="8" xfId="49" applyNumberFormat="1" applyFont="1" applyFill="1" applyBorder="1" applyAlignment="1" applyProtection="1">
      <alignment horizontal="center" vertical="center"/>
      <protection hidden="1"/>
    </xf>
    <xf numFmtId="179" fontId="8" fillId="8" borderId="9" xfId="49" applyNumberFormat="1" applyFont="1" applyFill="1" applyBorder="1" applyAlignment="1" applyProtection="1">
      <alignment horizontal="center" vertical="center"/>
      <protection hidden="1"/>
    </xf>
    <xf numFmtId="179" fontId="8" fillId="8" borderId="10" xfId="49" applyNumberFormat="1" applyFont="1" applyFill="1" applyBorder="1" applyAlignment="1" applyProtection="1">
      <alignment horizontal="center" vertical="center"/>
      <protection hidden="1"/>
    </xf>
    <xf numFmtId="10" fontId="8" fillId="8" borderId="31" xfId="49" applyNumberFormat="1" applyFont="1" applyFill="1" applyBorder="1" applyAlignment="1" applyProtection="1">
      <alignment horizontal="center" vertical="center"/>
      <protection hidden="1"/>
    </xf>
    <xf numFmtId="10" fontId="8" fillId="8" borderId="26" xfId="49" applyNumberFormat="1" applyFont="1" applyFill="1" applyBorder="1" applyAlignment="1" applyProtection="1">
      <alignment horizontal="center" vertical="center"/>
      <protection hidden="1"/>
    </xf>
    <xf numFmtId="10" fontId="8" fillId="8" borderId="21" xfId="49" applyNumberFormat="1" applyFont="1" applyFill="1" applyBorder="1" applyAlignment="1" applyProtection="1">
      <alignment horizontal="center" vertical="center"/>
      <protection hidden="1"/>
    </xf>
    <xf numFmtId="0" fontId="11" fillId="9" borderId="32" xfId="49" applyFont="1" applyFill="1" applyBorder="1" applyAlignment="1" applyProtection="1">
      <alignment horizontal="center" vertical="center"/>
      <protection hidden="1"/>
    </xf>
    <xf numFmtId="0" fontId="11" fillId="9" borderId="33" xfId="49" applyFont="1" applyFill="1" applyBorder="1" applyAlignment="1" applyProtection="1">
      <alignment horizontal="center" vertical="center"/>
      <protection hidden="1"/>
    </xf>
    <xf numFmtId="10" fontId="8" fillId="8" borderId="8" xfId="49" applyNumberFormat="1" applyFont="1" applyFill="1" applyBorder="1" applyAlignment="1" applyProtection="1">
      <alignment horizontal="center" vertical="center"/>
      <protection hidden="1"/>
    </xf>
    <xf numFmtId="10" fontId="8" fillId="8" borderId="9" xfId="49" applyNumberFormat="1" applyFont="1" applyFill="1" applyBorder="1" applyAlignment="1" applyProtection="1">
      <alignment horizontal="center" vertical="center"/>
      <protection hidden="1"/>
    </xf>
    <xf numFmtId="10" fontId="8" fillId="8" borderId="10" xfId="49" applyNumberFormat="1" applyFont="1" applyFill="1" applyBorder="1" applyAlignment="1" applyProtection="1">
      <alignment horizontal="center" vertical="center"/>
      <protection hidden="1"/>
    </xf>
    <xf numFmtId="0" fontId="11" fillId="9" borderId="9" xfId="49" applyFont="1" applyFill="1" applyBorder="1" applyAlignment="1" applyProtection="1">
      <alignment horizontal="center" vertical="center"/>
      <protection hidden="1"/>
    </xf>
    <xf numFmtId="180" fontId="8" fillId="8" borderId="0" xfId="49" applyNumberFormat="1" applyFont="1" applyFill="1" applyBorder="1" applyAlignment="1" applyProtection="1">
      <alignment horizontal="center" vertical="center"/>
      <protection hidden="1"/>
    </xf>
    <xf numFmtId="179" fontId="8" fillId="10" borderId="8" xfId="49" applyNumberFormat="1" applyFont="1" applyFill="1" applyBorder="1" applyAlignment="1" applyProtection="1">
      <alignment horizontal="center" vertical="center"/>
      <protection locked="0"/>
    </xf>
    <xf numFmtId="179" fontId="8" fillId="10" borderId="9" xfId="49" applyNumberFormat="1" applyFont="1" applyFill="1" applyBorder="1" applyAlignment="1" applyProtection="1">
      <alignment horizontal="center" vertical="center"/>
      <protection locked="0"/>
    </xf>
    <xf numFmtId="179" fontId="8" fillId="10" borderId="10" xfId="49" applyNumberFormat="1" applyFont="1" applyFill="1" applyBorder="1" applyAlignment="1" applyProtection="1">
      <alignment horizontal="center" vertical="center"/>
      <protection locked="0"/>
    </xf>
    <xf numFmtId="0" fontId="11" fillId="11" borderId="8" xfId="49" applyFont="1" applyFill="1" applyBorder="1" applyAlignment="1" applyProtection="1">
      <alignment horizontal="center" vertical="center"/>
      <protection locked="0"/>
    </xf>
    <xf numFmtId="0" fontId="11" fillId="11" borderId="9" xfId="49" applyFont="1" applyFill="1" applyBorder="1" applyAlignment="1" applyProtection="1">
      <alignment horizontal="center" vertical="center"/>
      <protection locked="0"/>
    </xf>
    <xf numFmtId="0" fontId="11" fillId="11" borderId="12" xfId="49" applyFont="1" applyFill="1" applyBorder="1" applyAlignment="1" applyProtection="1">
      <alignment horizontal="center" vertical="center"/>
      <protection locked="0"/>
    </xf>
    <xf numFmtId="0" fontId="11" fillId="0" borderId="14" xfId="49" applyFont="1" applyFill="1" applyBorder="1" applyAlignment="1" applyProtection="1">
      <alignment horizontal="center" vertical="center"/>
      <protection locked="0"/>
    </xf>
    <xf numFmtId="0" fontId="11" fillId="0" borderId="0" xfId="49" applyFont="1" applyFill="1" applyBorder="1" applyAlignment="1" applyProtection="1">
      <alignment horizontal="center" vertical="center"/>
      <protection locked="0"/>
    </xf>
    <xf numFmtId="0" fontId="11" fillId="0" borderId="18" xfId="49" applyFont="1" applyFill="1" applyBorder="1" applyAlignment="1" applyProtection="1">
      <alignment horizontal="center" vertical="center"/>
      <protection locked="0"/>
    </xf>
    <xf numFmtId="0" fontId="11" fillId="12" borderId="17" xfId="49" applyFont="1" applyFill="1" applyBorder="1" applyAlignment="1" applyProtection="1">
      <alignment horizontal="center" vertical="center"/>
      <protection locked="0"/>
    </xf>
    <xf numFmtId="0" fontId="11" fillId="12" borderId="18" xfId="49" applyFont="1" applyFill="1" applyBorder="1" applyAlignment="1" applyProtection="1">
      <alignment horizontal="center" vertical="center"/>
      <protection locked="0"/>
    </xf>
    <xf numFmtId="0" fontId="11" fillId="12" borderId="24" xfId="49" applyFont="1" applyFill="1" applyBorder="1" applyAlignment="1" applyProtection="1">
      <alignment horizontal="center" vertical="center"/>
      <protection locked="0"/>
    </xf>
    <xf numFmtId="9" fontId="8" fillId="0" borderId="3" xfId="49" applyNumberFormat="1" applyFont="1" applyBorder="1" applyAlignment="1" applyProtection="1">
      <alignment horizontal="center" vertical="center"/>
      <protection hidden="1"/>
    </xf>
    <xf numFmtId="9" fontId="8" fillId="0" borderId="34" xfId="49" applyNumberFormat="1" applyFont="1" applyBorder="1" applyAlignment="1" applyProtection="1">
      <alignment horizontal="center" vertical="center"/>
      <protection hidden="1"/>
    </xf>
    <xf numFmtId="9" fontId="8" fillId="0" borderId="7" xfId="49" applyNumberFormat="1" applyFont="1" applyBorder="1" applyAlignment="1" applyProtection="1">
      <alignment horizontal="center" vertical="center"/>
      <protection hidden="1"/>
    </xf>
    <xf numFmtId="9" fontId="8" fillId="0" borderId="20" xfId="49" applyNumberFormat="1" applyFont="1" applyBorder="1" applyAlignment="1" applyProtection="1">
      <alignment horizontal="center" vertical="center"/>
      <protection hidden="1"/>
    </xf>
    <xf numFmtId="9" fontId="8" fillId="0" borderId="21" xfId="49" applyNumberFormat="1" applyFont="1" applyBorder="1" applyAlignment="1" applyProtection="1">
      <alignment horizontal="center" vertical="center"/>
      <protection hidden="1"/>
    </xf>
    <xf numFmtId="0" fontId="8" fillId="0" borderId="20" xfId="49" applyFont="1" applyBorder="1" applyAlignment="1" applyProtection="1">
      <alignment horizontal="center" vertical="center"/>
      <protection hidden="1"/>
    </xf>
    <xf numFmtId="0" fontId="8" fillId="0" borderId="21" xfId="49" applyFont="1" applyBorder="1" applyAlignment="1" applyProtection="1">
      <alignment horizontal="center" vertical="center"/>
      <protection hidden="1"/>
    </xf>
    <xf numFmtId="176" fontId="8" fillId="4" borderId="17" xfId="49" applyNumberFormat="1" applyFont="1" applyFill="1" applyBorder="1" applyAlignment="1" applyProtection="1">
      <alignment horizontal="center" vertical="center"/>
      <protection hidden="1"/>
    </xf>
    <xf numFmtId="176" fontId="8" fillId="4" borderId="8" xfId="49" applyNumberFormat="1" applyFont="1" applyFill="1" applyBorder="1" applyAlignment="1" applyProtection="1">
      <alignment horizontal="center" vertical="center"/>
      <protection hidden="1"/>
    </xf>
    <xf numFmtId="176" fontId="8" fillId="4" borderId="9" xfId="49" applyNumberFormat="1" applyFont="1" applyFill="1" applyBorder="1" applyAlignment="1" applyProtection="1">
      <alignment horizontal="center" vertical="center"/>
      <protection hidden="1"/>
    </xf>
    <xf numFmtId="177" fontId="8" fillId="7" borderId="17" xfId="49" applyNumberFormat="1" applyFont="1" applyFill="1" applyBorder="1" applyAlignment="1" applyProtection="1">
      <alignment horizontal="center" vertical="center"/>
      <protection hidden="1"/>
    </xf>
    <xf numFmtId="0" fontId="11" fillId="9" borderId="8" xfId="49" applyFont="1" applyFill="1" applyBorder="1" applyAlignment="1" applyProtection="1">
      <alignment horizontal="center" vertical="center" wrapText="1"/>
      <protection hidden="1"/>
    </xf>
    <xf numFmtId="0" fontId="11" fillId="9" borderId="10" xfId="49" applyFont="1" applyFill="1" applyBorder="1" applyAlignment="1" applyProtection="1">
      <alignment horizontal="center" vertical="center" wrapText="1"/>
      <protection hidden="1"/>
    </xf>
    <xf numFmtId="177" fontId="8" fillId="8" borderId="0" xfId="49" applyNumberFormat="1" applyFont="1" applyFill="1" applyBorder="1" applyAlignment="1" applyProtection="1">
      <alignment horizontal="center" vertical="center"/>
      <protection hidden="1"/>
    </xf>
    <xf numFmtId="10" fontId="8" fillId="10" borderId="8" xfId="49" applyNumberFormat="1" applyFont="1" applyFill="1" applyBorder="1" applyAlignment="1" applyProtection="1">
      <alignment horizontal="center" vertical="center"/>
      <protection locked="0"/>
    </xf>
    <xf numFmtId="10" fontId="8" fillId="10" borderId="9" xfId="49" applyNumberFormat="1" applyFont="1" applyFill="1" applyBorder="1" applyAlignment="1" applyProtection="1">
      <alignment horizontal="center" vertical="center"/>
      <protection locked="0"/>
    </xf>
    <xf numFmtId="10" fontId="8" fillId="10" borderId="10" xfId="49" applyNumberFormat="1" applyFont="1" applyFill="1" applyBorder="1" applyAlignment="1" applyProtection="1">
      <alignment horizontal="center" vertical="center"/>
      <protection locked="0"/>
    </xf>
    <xf numFmtId="0" fontId="16" fillId="0" borderId="0" xfId="49" applyFont="1" applyAlignment="1" applyProtection="1">
      <alignment horizontal="left" vertical="center"/>
      <protection locked="0"/>
    </xf>
    <xf numFmtId="0" fontId="8" fillId="0" borderId="0" xfId="49" applyFont="1" applyAlignment="1" applyProtection="1">
      <alignment horizontal="left" vertical="center"/>
      <protection locked="0"/>
    </xf>
    <xf numFmtId="0" fontId="16" fillId="0" borderId="0" xfId="49" applyFont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2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8" fillId="0" borderId="12" xfId="0" applyFont="1" applyBorder="1">
      <alignment vertical="center"/>
    </xf>
    <xf numFmtId="0" fontId="20" fillId="13" borderId="5" xfId="0" applyFont="1" applyFill="1" applyBorder="1" applyAlignment="1">
      <alignment horizontal="center" vertical="center" wrapText="1"/>
    </xf>
    <xf numFmtId="0" fontId="20" fillId="13" borderId="36" xfId="0" applyFont="1" applyFill="1" applyBorder="1" applyAlignment="1">
      <alignment horizontal="center" vertical="center" wrapText="1"/>
    </xf>
    <xf numFmtId="0" fontId="20" fillId="13" borderId="37" xfId="0" applyFont="1" applyFill="1" applyBorder="1" applyAlignment="1">
      <alignment horizontal="center" vertical="center" wrapText="1"/>
    </xf>
    <xf numFmtId="0" fontId="20" fillId="13" borderId="38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 applyProtection="1">
      <alignment horizontal="center" vertical="center" wrapText="1"/>
      <protection locked="0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57" fontId="22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5" xfId="0" applyFont="1" applyFill="1" applyBorder="1" applyAlignment="1">
      <alignment horizontal="center" vertical="center" wrapText="1"/>
    </xf>
    <xf numFmtId="178" fontId="22" fillId="3" borderId="5" xfId="0" applyNumberFormat="1" applyFont="1" applyFill="1" applyBorder="1" applyAlignment="1">
      <alignment horizontal="center" vertical="center" wrapText="1"/>
    </xf>
    <xf numFmtId="0" fontId="22" fillId="5" borderId="5" xfId="0" applyFont="1" applyFill="1" applyBorder="1" applyAlignment="1" applyProtection="1">
      <alignment horizontal="center" vertical="center" wrapText="1"/>
      <protection locked="0"/>
    </xf>
    <xf numFmtId="0" fontId="23" fillId="0" borderId="37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44" xfId="0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0" fontId="22" fillId="14" borderId="5" xfId="49" applyNumberFormat="1" applyFont="1" applyFill="1" applyBorder="1" applyAlignment="1">
      <alignment horizontal="center" vertical="center" wrapText="1"/>
    </xf>
    <xf numFmtId="176" fontId="22" fillId="14" borderId="5" xfId="49" applyNumberFormat="1" applyFont="1" applyFill="1" applyBorder="1" applyAlignment="1">
      <alignment horizontal="center" vertical="center" wrapText="1"/>
    </xf>
    <xf numFmtId="10" fontId="22" fillId="15" borderId="5" xfId="49" applyNumberFormat="1" applyFont="1" applyFill="1" applyBorder="1" applyAlignment="1">
      <alignment horizontal="center" vertical="center" wrapText="1"/>
    </xf>
    <xf numFmtId="179" fontId="22" fillId="14" borderId="5" xfId="49" applyNumberFormat="1" applyFont="1" applyFill="1" applyBorder="1" applyAlignment="1">
      <alignment horizontal="center" vertical="center" wrapText="1"/>
    </xf>
    <xf numFmtId="10" fontId="22" fillId="15" borderId="36" xfId="49" applyNumberFormat="1" applyFont="1" applyFill="1" applyBorder="1" applyAlignment="1">
      <alignment horizontal="center" vertical="center" wrapText="1"/>
    </xf>
    <xf numFmtId="179" fontId="22" fillId="15" borderId="45" xfId="49" applyNumberFormat="1" applyFont="1" applyFill="1" applyBorder="1" applyAlignment="1">
      <alignment horizontal="center" vertical="center" wrapText="1"/>
    </xf>
    <xf numFmtId="10" fontId="22" fillId="15" borderId="45" xfId="49" applyNumberFormat="1" applyFont="1" applyFill="1" applyBorder="1" applyAlignment="1">
      <alignment horizontal="center" vertical="center" wrapText="1"/>
    </xf>
    <xf numFmtId="0" fontId="20" fillId="13" borderId="46" xfId="0" applyFont="1" applyFill="1" applyBorder="1" applyAlignment="1">
      <alignment horizontal="left" vertical="center" wrapText="1"/>
    </xf>
    <xf numFmtId="0" fontId="20" fillId="13" borderId="45" xfId="0" applyFont="1" applyFill="1" applyBorder="1" applyAlignment="1">
      <alignment horizontal="left" vertical="center" wrapText="1"/>
    </xf>
    <xf numFmtId="0" fontId="25" fillId="0" borderId="20" xfId="0" applyFont="1" applyBorder="1" applyAlignment="1">
      <alignment horizontal="center" vertical="center"/>
    </xf>
    <xf numFmtId="0" fontId="23" fillId="0" borderId="47" xfId="0" applyFont="1" applyBorder="1" applyAlignment="1">
      <alignment horizontal="left" vertical="center" wrapText="1"/>
    </xf>
    <xf numFmtId="0" fontId="23" fillId="0" borderId="4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180" fontId="19" fillId="0" borderId="43" xfId="0" applyNumberFormat="1" applyFont="1" applyFill="1" applyBorder="1" applyAlignment="1" applyProtection="1">
      <alignment horizontal="center" vertical="center" wrapText="1"/>
    </xf>
    <xf numFmtId="180" fontId="19" fillId="0" borderId="50" xfId="0" applyNumberFormat="1" applyFont="1" applyFill="1" applyBorder="1" applyAlignment="1" applyProtection="1">
      <alignment horizontal="center" vertical="center" wrapText="1"/>
    </xf>
    <xf numFmtId="180" fontId="19" fillId="0" borderId="0" xfId="0" applyNumberFormat="1" applyFont="1" applyFill="1" applyBorder="1" applyAlignment="1" applyProtection="1">
      <alignment horizontal="center" vertical="center" wrapText="1"/>
    </xf>
    <xf numFmtId="0" fontId="20" fillId="13" borderId="46" xfId="0" applyFont="1" applyFill="1" applyBorder="1" applyAlignment="1">
      <alignment horizontal="center" vertical="center" wrapText="1"/>
    </xf>
    <xf numFmtId="0" fontId="20" fillId="13" borderId="11" xfId="0" applyFont="1" applyFill="1" applyBorder="1" applyAlignment="1">
      <alignment horizontal="center" vertical="center" wrapText="1"/>
    </xf>
    <xf numFmtId="0" fontId="20" fillId="13" borderId="12" xfId="0" applyFont="1" applyFill="1" applyBorder="1" applyAlignment="1">
      <alignment horizontal="center" vertical="center" wrapText="1"/>
    </xf>
    <xf numFmtId="180" fontId="24" fillId="0" borderId="41" xfId="0" applyNumberFormat="1" applyFont="1" applyFill="1" applyBorder="1" applyAlignment="1" applyProtection="1">
      <alignment horizontal="center" vertical="center" wrapText="1"/>
    </xf>
    <xf numFmtId="180" fontId="22" fillId="16" borderId="5" xfId="0" applyNumberFormat="1" applyFont="1" applyFill="1" applyBorder="1" applyAlignment="1" applyProtection="1">
      <alignment horizontal="center" vertical="center" wrapText="1"/>
    </xf>
    <xf numFmtId="180" fontId="19" fillId="0" borderId="41" xfId="0" applyNumberFormat="1" applyFont="1" applyFill="1" applyBorder="1" applyAlignment="1" applyProtection="1">
      <alignment horizontal="center" vertical="center" wrapText="1"/>
    </xf>
    <xf numFmtId="180" fontId="19" fillId="0" borderId="42" xfId="0" applyNumberFormat="1" applyFont="1" applyFill="1" applyBorder="1" applyAlignment="1" applyProtection="1">
      <alignment horizontal="center" vertical="center" wrapText="1"/>
    </xf>
    <xf numFmtId="0" fontId="21" fillId="0" borderId="48" xfId="0" applyFont="1" applyBorder="1" applyAlignment="1" applyProtection="1">
      <alignment horizontal="center" vertical="center"/>
      <protection locked="0"/>
    </xf>
    <xf numFmtId="0" fontId="17" fillId="17" borderId="32" xfId="0" applyFont="1" applyFill="1" applyBorder="1" applyAlignment="1" applyProtection="1">
      <alignment horizontal="center" vertical="center"/>
      <protection locked="0"/>
    </xf>
    <xf numFmtId="0" fontId="21" fillId="0" borderId="48" xfId="0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center" vertical="center"/>
      <protection locked="0"/>
    </xf>
    <xf numFmtId="0" fontId="26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left" vertical="center" wrapText="1"/>
    </xf>
    <xf numFmtId="0" fontId="27" fillId="3" borderId="4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topLeftCell="A12" workbookViewId="0">
      <selection activeCell="H21" sqref="H21"/>
    </sheetView>
  </sheetViews>
  <sheetFormatPr defaultColWidth="9" defaultRowHeight="13" outlineLevelCol="7"/>
  <cols>
    <col min="1" max="1" width="8.78181818181818" style="244" customWidth="1"/>
    <col min="2" max="2" width="19.6636363636364" style="244" customWidth="1"/>
    <col min="3" max="3" width="16.6636363636364" style="244" customWidth="1"/>
    <col min="4" max="4" width="26.6636363636364" style="244" customWidth="1"/>
    <col min="5" max="5" width="40.8909090909091" style="245" customWidth="1"/>
    <col min="6" max="7" width="5" style="244" customWidth="1"/>
    <col min="8" max="8" width="57.1090909090909" style="244" customWidth="1"/>
    <col min="9" max="16" width="5" style="244" customWidth="1"/>
    <col min="17" max="16384" width="9" style="244"/>
  </cols>
  <sheetData>
    <row r="1" s="243" customFormat="1" ht="14.5" spans="1:8">
      <c r="A1" s="246" t="s">
        <v>0</v>
      </c>
      <c r="B1" s="246"/>
      <c r="C1" s="246"/>
      <c r="D1" s="246"/>
      <c r="E1" s="247"/>
      <c r="F1" s="248"/>
      <c r="G1" s="248"/>
      <c r="H1" s="248"/>
    </row>
    <row r="2" ht="14.5" spans="1:8">
      <c r="A2" s="249" t="s">
        <v>1</v>
      </c>
      <c r="B2" s="249"/>
      <c r="C2" s="249"/>
      <c r="D2" s="249"/>
      <c r="E2" s="249"/>
      <c r="F2" s="249"/>
      <c r="G2" s="249"/>
      <c r="H2" s="249"/>
    </row>
    <row r="3" ht="14.5" spans="1:8">
      <c r="A3" s="249" t="s">
        <v>2</v>
      </c>
      <c r="B3" s="249"/>
      <c r="C3" s="249"/>
      <c r="D3" s="249"/>
      <c r="E3" s="249"/>
      <c r="F3" s="249"/>
      <c r="G3" s="249"/>
      <c r="H3" s="249"/>
    </row>
    <row r="4" ht="34.2" customHeight="1" spans="1:8">
      <c r="A4" s="250" t="s">
        <v>3</v>
      </c>
      <c r="B4" s="250"/>
      <c r="C4" s="250"/>
      <c r="D4" s="250"/>
      <c r="E4" s="250"/>
      <c r="F4" s="250"/>
      <c r="G4" s="250"/>
      <c r="H4" s="250"/>
    </row>
    <row r="5" ht="67" customHeight="1" spans="1:8">
      <c r="A5" s="250" t="s">
        <v>4</v>
      </c>
      <c r="B5" s="250"/>
      <c r="C5" s="250"/>
      <c r="D5" s="250"/>
      <c r="E5" s="250"/>
      <c r="F5" s="250"/>
      <c r="G5" s="250"/>
      <c r="H5" s="250"/>
    </row>
    <row r="6" ht="14.5" spans="1:8">
      <c r="A6" s="249" t="s">
        <v>5</v>
      </c>
      <c r="B6" s="249"/>
      <c r="C6" s="249"/>
      <c r="D6" s="249"/>
      <c r="E6" s="249"/>
      <c r="F6" s="251"/>
      <c r="G6" s="251"/>
      <c r="H6" s="251"/>
    </row>
    <row r="7" ht="14.5" spans="1:8">
      <c r="A7" s="246" t="s">
        <v>6</v>
      </c>
      <c r="B7" s="251"/>
      <c r="C7" s="251"/>
      <c r="D7" s="251"/>
      <c r="E7" s="252"/>
      <c r="F7" s="251"/>
      <c r="G7" s="251"/>
      <c r="H7" s="251"/>
    </row>
    <row r="8" ht="14.5" spans="1:8">
      <c r="A8" s="253" t="s">
        <v>7</v>
      </c>
      <c r="B8" s="253" t="s">
        <v>8</v>
      </c>
      <c r="C8" s="253" t="s">
        <v>9</v>
      </c>
      <c r="D8" s="253" t="s">
        <v>10</v>
      </c>
      <c r="E8" s="253" t="s">
        <v>11</v>
      </c>
      <c r="F8" s="251"/>
      <c r="G8" s="251"/>
      <c r="H8" s="251"/>
    </row>
    <row r="9" ht="14.5" spans="1:8">
      <c r="A9" s="254">
        <v>1</v>
      </c>
      <c r="B9" s="253" t="s">
        <v>12</v>
      </c>
      <c r="C9" s="254" t="s">
        <v>13</v>
      </c>
      <c r="D9" s="255" t="s">
        <v>14</v>
      </c>
      <c r="E9" s="256" t="s">
        <v>15</v>
      </c>
      <c r="F9" s="251"/>
      <c r="G9" s="251"/>
      <c r="H9" s="251"/>
    </row>
    <row r="10" ht="14.5" spans="1:8">
      <c r="A10" s="257"/>
      <c r="B10" s="253"/>
      <c r="C10" s="257"/>
      <c r="D10" s="255"/>
      <c r="E10" s="256"/>
      <c r="F10" s="251"/>
      <c r="G10" s="251"/>
      <c r="H10" s="251"/>
    </row>
    <row r="11" ht="58" spans="1:8">
      <c r="A11" s="257">
        <v>2</v>
      </c>
      <c r="B11" s="253" t="s">
        <v>16</v>
      </c>
      <c r="C11" s="253" t="s">
        <v>13</v>
      </c>
      <c r="D11" s="256" t="s">
        <v>17</v>
      </c>
      <c r="E11" s="256" t="s">
        <v>18</v>
      </c>
      <c r="F11" s="251"/>
      <c r="G11" s="251"/>
      <c r="H11" s="251"/>
    </row>
    <row r="12" ht="29" spans="1:8">
      <c r="A12" s="258">
        <v>3</v>
      </c>
      <c r="B12" s="258" t="s">
        <v>19</v>
      </c>
      <c r="C12" s="253" t="s">
        <v>13</v>
      </c>
      <c r="D12" s="256" t="s">
        <v>20</v>
      </c>
      <c r="E12" s="256" t="s">
        <v>21</v>
      </c>
      <c r="F12" s="251"/>
      <c r="G12" s="251"/>
      <c r="H12" s="251"/>
    </row>
    <row r="13" ht="14.5" spans="1:8">
      <c r="A13" s="259">
        <v>4</v>
      </c>
      <c r="B13" s="259" t="s">
        <v>22</v>
      </c>
      <c r="C13" s="254" t="s">
        <v>13</v>
      </c>
      <c r="D13" s="260" t="s">
        <v>23</v>
      </c>
      <c r="E13" s="260" t="s">
        <v>24</v>
      </c>
      <c r="F13" s="251"/>
      <c r="G13" s="251"/>
      <c r="H13" s="251"/>
    </row>
    <row r="14" ht="30.6" customHeight="1" spans="1:8">
      <c r="A14" s="261"/>
      <c r="B14" s="261"/>
      <c r="C14" s="262"/>
      <c r="D14" s="263"/>
      <c r="E14" s="263"/>
      <c r="F14" s="251"/>
      <c r="G14" s="251"/>
      <c r="H14" s="251"/>
    </row>
    <row r="15" ht="58" spans="1:8">
      <c r="A15" s="253">
        <v>5</v>
      </c>
      <c r="B15" s="253" t="s">
        <v>25</v>
      </c>
      <c r="C15" s="253" t="s">
        <v>26</v>
      </c>
      <c r="D15" s="256" t="s">
        <v>27</v>
      </c>
      <c r="E15" s="256" t="s">
        <v>28</v>
      </c>
      <c r="F15" s="251"/>
      <c r="G15" s="251"/>
      <c r="H15" s="251"/>
    </row>
    <row r="16" ht="29" spans="1:8">
      <c r="A16" s="253">
        <v>6</v>
      </c>
      <c r="B16" s="253" t="s">
        <v>29</v>
      </c>
      <c r="C16" s="253" t="s">
        <v>30</v>
      </c>
      <c r="D16" s="256" t="s">
        <v>31</v>
      </c>
      <c r="E16" s="256" t="s">
        <v>32</v>
      </c>
      <c r="F16" s="251"/>
      <c r="G16" s="251"/>
      <c r="H16" s="251"/>
    </row>
    <row r="17" ht="43.5" spans="1:5">
      <c r="A17" s="253">
        <v>7</v>
      </c>
      <c r="B17" s="253" t="s">
        <v>33</v>
      </c>
      <c r="C17" s="253" t="s">
        <v>13</v>
      </c>
      <c r="D17" s="256" t="s">
        <v>34</v>
      </c>
      <c r="E17" s="256" t="s">
        <v>35</v>
      </c>
    </row>
    <row r="18" ht="29" spans="1:5">
      <c r="A18" s="253">
        <v>8</v>
      </c>
      <c r="B18" s="258" t="s">
        <v>36</v>
      </c>
      <c r="C18" s="253" t="s">
        <v>13</v>
      </c>
      <c r="D18" s="264" t="s">
        <v>37</v>
      </c>
      <c r="E18" s="256" t="s">
        <v>38</v>
      </c>
    </row>
    <row r="19" ht="29" spans="1:5">
      <c r="A19" s="253">
        <v>9</v>
      </c>
      <c r="B19" s="258" t="s">
        <v>39</v>
      </c>
      <c r="C19" s="253" t="s">
        <v>26</v>
      </c>
      <c r="D19" s="264" t="s">
        <v>40</v>
      </c>
      <c r="E19" s="256" t="s">
        <v>41</v>
      </c>
    </row>
    <row r="20" ht="29" spans="1:5">
      <c r="A20" s="253">
        <v>10</v>
      </c>
      <c r="B20" s="258" t="s">
        <v>42</v>
      </c>
      <c r="C20" s="253" t="s">
        <v>26</v>
      </c>
      <c r="D20" s="264" t="s">
        <v>43</v>
      </c>
      <c r="E20" s="256" t="s">
        <v>44</v>
      </c>
    </row>
    <row r="21" ht="43.5" spans="1:5">
      <c r="A21" s="253">
        <v>11</v>
      </c>
      <c r="B21" s="258" t="s">
        <v>45</v>
      </c>
      <c r="C21" s="253" t="s">
        <v>26</v>
      </c>
      <c r="D21" s="264" t="s">
        <v>46</v>
      </c>
      <c r="E21" s="256" t="s">
        <v>47</v>
      </c>
    </row>
    <row r="22" ht="43.5" spans="1:5">
      <c r="A22" s="253">
        <v>12</v>
      </c>
      <c r="B22" s="258" t="s">
        <v>48</v>
      </c>
      <c r="C22" s="253" t="s">
        <v>26</v>
      </c>
      <c r="D22" s="264" t="s">
        <v>49</v>
      </c>
      <c r="E22" s="256" t="s">
        <v>50</v>
      </c>
    </row>
  </sheetData>
  <mergeCells count="15">
    <mergeCell ref="A2:H2"/>
    <mergeCell ref="A3:H3"/>
    <mergeCell ref="A4:H4"/>
    <mergeCell ref="A5:H5"/>
    <mergeCell ref="A6:E6"/>
    <mergeCell ref="A9:A10"/>
    <mergeCell ref="A13:A14"/>
    <mergeCell ref="B9:B10"/>
    <mergeCell ref="B13:B14"/>
    <mergeCell ref="C9:C10"/>
    <mergeCell ref="C13:C14"/>
    <mergeCell ref="D9:D10"/>
    <mergeCell ref="D13:D14"/>
    <mergeCell ref="E9:E10"/>
    <mergeCell ref="E13:E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40"/>
  <sheetViews>
    <sheetView tabSelected="1" zoomScale="77" zoomScaleNormal="77" workbookViewId="0">
      <selection activeCell="J13" sqref="J13"/>
    </sheetView>
  </sheetViews>
  <sheetFormatPr defaultColWidth="9" defaultRowHeight="16.5" outlineLevelCol="3"/>
  <cols>
    <col min="1" max="1" width="62.6636363636364" style="185" customWidth="1"/>
    <col min="2" max="2" width="88.7818181818182" style="186" customWidth="1"/>
    <col min="3" max="3" width="18.1090909090909" style="186" customWidth="1"/>
    <col min="4" max="4" width="9.23636363636364" style="186" customWidth="1"/>
    <col min="5" max="16384" width="9" style="186"/>
  </cols>
  <sheetData>
    <row r="1" ht="1.5" customHeight="1"/>
    <row r="2" ht="26.7" customHeight="1" spans="1:4">
      <c r="A2" s="187" t="s">
        <v>51</v>
      </c>
      <c r="B2" s="188"/>
      <c r="C2" s="188"/>
      <c r="D2" s="189"/>
    </row>
    <row r="3" ht="20.75" spans="1:4">
      <c r="A3" s="190" t="s">
        <v>52</v>
      </c>
      <c r="B3" s="191"/>
      <c r="C3" s="192" t="s">
        <v>53</v>
      </c>
      <c r="D3" s="193"/>
    </row>
    <row r="4" ht="16.95" customHeight="1" spans="1:4">
      <c r="A4" s="194" t="s">
        <v>54</v>
      </c>
      <c r="B4" s="195" t="s">
        <v>55</v>
      </c>
      <c r="C4" s="196" t="s">
        <v>56</v>
      </c>
      <c r="D4" s="197"/>
    </row>
    <row r="5" ht="16.95" customHeight="1" spans="1:4">
      <c r="A5" s="194" t="s">
        <v>57</v>
      </c>
      <c r="B5" s="195" t="s">
        <v>58</v>
      </c>
      <c r="C5" s="198"/>
      <c r="D5" s="199"/>
    </row>
    <row r="6" ht="16.95" customHeight="1" spans="1:4">
      <c r="A6" s="194" t="s">
        <v>59</v>
      </c>
      <c r="B6" s="200" t="s">
        <v>60</v>
      </c>
      <c r="C6" s="198"/>
      <c r="D6" s="199"/>
    </row>
    <row r="7" ht="16.95" customHeight="1" spans="1:4">
      <c r="A7" s="194" t="s">
        <v>61</v>
      </c>
      <c r="B7" s="201" t="s">
        <v>62</v>
      </c>
      <c r="C7" s="198"/>
      <c r="D7" s="199"/>
    </row>
    <row r="8" ht="16.95" customHeight="1" spans="1:4">
      <c r="A8" s="194" t="s">
        <v>63</v>
      </c>
      <c r="B8" s="202"/>
      <c r="C8" s="198"/>
      <c r="D8" s="199"/>
    </row>
    <row r="9" ht="16.95" customHeight="1" spans="1:4">
      <c r="A9" s="194" t="s">
        <v>64</v>
      </c>
      <c r="B9" s="202" t="s">
        <v>65</v>
      </c>
      <c r="C9" s="198"/>
      <c r="D9" s="199"/>
    </row>
    <row r="10" ht="16.95" customHeight="1" spans="1:4">
      <c r="A10" s="194" t="s">
        <v>66</v>
      </c>
      <c r="B10" s="203">
        <f>'3-直接经济效益评估表'!G32</f>
        <v>157841.641509434</v>
      </c>
      <c r="C10" s="204" t="s">
        <v>67</v>
      </c>
      <c r="D10" s="205"/>
    </row>
    <row r="11" ht="16.95" customHeight="1" spans="1:4">
      <c r="A11" s="194" t="s">
        <v>68</v>
      </c>
      <c r="B11" s="203">
        <f>SUM('3-直接经济效益评估表'!G13:G22)</f>
        <v>157819</v>
      </c>
      <c r="C11" s="206"/>
      <c r="D11" s="207"/>
    </row>
    <row r="12" ht="16.95" customHeight="1" spans="1:4">
      <c r="A12" s="194" t="s">
        <v>69</v>
      </c>
      <c r="B12" s="203">
        <f>SUM('3-直接经济效益评估表'!G23:G27)</f>
        <v>22.6415094339623</v>
      </c>
      <c r="C12" s="206"/>
      <c r="D12" s="207"/>
    </row>
    <row r="13" ht="16.95" customHeight="1" spans="1:4">
      <c r="A13" s="194" t="s">
        <v>70</v>
      </c>
      <c r="B13" s="203">
        <f>SUM('3-直接经济效益评估表'!G28)</f>
        <v>0</v>
      </c>
      <c r="C13" s="206"/>
      <c r="D13" s="207"/>
    </row>
    <row r="14" ht="16.95" customHeight="1" spans="1:4">
      <c r="A14" s="194" t="s">
        <v>71</v>
      </c>
      <c r="B14" s="203">
        <f>SUM('3-直接经济效益评估表'!G29:G31)</f>
        <v>0</v>
      </c>
      <c r="C14" s="208"/>
      <c r="D14" s="209"/>
    </row>
    <row r="15" ht="16.95" customHeight="1" spans="1:4">
      <c r="A15" s="194" t="s">
        <v>72</v>
      </c>
      <c r="B15" s="203">
        <f>'3-直接经济效益评估表'!G12</f>
        <v>171781.132075472</v>
      </c>
      <c r="C15" s="210" t="s">
        <v>73</v>
      </c>
      <c r="D15" s="211"/>
    </row>
    <row r="16" ht="16.95" customHeight="1" spans="1:4">
      <c r="A16" s="194" t="s">
        <v>74</v>
      </c>
      <c r="B16" s="203">
        <f>SUM('3-直接经济效益评估表'!G3:G8)</f>
        <v>171758.490566038</v>
      </c>
      <c r="C16" s="210"/>
      <c r="D16" s="211"/>
    </row>
    <row r="17" ht="16.95" customHeight="1" spans="1:4">
      <c r="A17" s="194" t="s">
        <v>75</v>
      </c>
      <c r="B17" s="203">
        <f>SUM('3-直接经济效益评估表'!G9:G10)</f>
        <v>22.6415094339623</v>
      </c>
      <c r="C17" s="210"/>
      <c r="D17" s="211"/>
    </row>
    <row r="18" ht="16.95" customHeight="1" spans="1:4">
      <c r="A18" s="194" t="s">
        <v>76</v>
      </c>
      <c r="B18" s="203">
        <f>'3-直接经济效益评估表'!G11</f>
        <v>0</v>
      </c>
      <c r="C18" s="210"/>
      <c r="D18" s="211"/>
    </row>
    <row r="19" ht="20" spans="1:4">
      <c r="A19" s="190" t="s">
        <v>77</v>
      </c>
      <c r="B19" s="191"/>
      <c r="C19" s="212"/>
      <c r="D19" s="213"/>
    </row>
    <row r="20" ht="20" spans="1:4">
      <c r="A20" s="194" t="s">
        <v>78</v>
      </c>
      <c r="B20" s="214" t="s">
        <v>79</v>
      </c>
      <c r="C20" s="210" t="s">
        <v>73</v>
      </c>
      <c r="D20" s="211"/>
    </row>
    <row r="21" ht="20" spans="1:4">
      <c r="A21" s="215" t="s">
        <v>80</v>
      </c>
      <c r="B21" s="216">
        <v>0.055</v>
      </c>
      <c r="C21" s="210"/>
      <c r="D21" s="211"/>
    </row>
    <row r="22" ht="20" spans="1:4">
      <c r="A22" s="215" t="s">
        <v>81</v>
      </c>
      <c r="B22" s="217">
        <f>'3-直接经济效益评估表'!C45</f>
        <v>13212.7872663865</v>
      </c>
      <c r="C22" s="210"/>
      <c r="D22" s="211"/>
    </row>
    <row r="23" ht="20" spans="1:4">
      <c r="A23" s="215" t="s">
        <v>82</v>
      </c>
      <c r="B23" s="218">
        <f>'3-直接经济效益评估表'!C47</f>
        <v>0.0883131373491488</v>
      </c>
      <c r="C23" s="210"/>
      <c r="D23" s="211"/>
    </row>
    <row r="24" ht="20" spans="1:4">
      <c r="A24" s="215" t="s">
        <v>83</v>
      </c>
      <c r="B24" s="219">
        <f>'3-直接经济效益评估表'!C46</f>
        <v>1</v>
      </c>
      <c r="C24" s="210"/>
      <c r="D24" s="211"/>
    </row>
    <row r="25" ht="20" spans="1:4">
      <c r="A25" s="215" t="s">
        <v>84</v>
      </c>
      <c r="B25" s="216">
        <f>'3-直接经济效益评估表'!C49</f>
        <v>0.0811468081367251</v>
      </c>
      <c r="C25" s="210"/>
      <c r="D25" s="211"/>
    </row>
    <row r="26" ht="20" spans="1:4">
      <c r="A26" s="215" t="s">
        <v>85</v>
      </c>
      <c r="B26" s="218" t="e">
        <f>'3-直接经济效益评估表'!C48</f>
        <v>#NUM!</v>
      </c>
      <c r="C26" s="210"/>
      <c r="D26" s="211"/>
    </row>
    <row r="27" ht="20" spans="1:4">
      <c r="A27" s="215" t="s">
        <v>86</v>
      </c>
      <c r="B27" s="220">
        <f>'3-直接经济效益评估表'!C65</f>
        <v>0.0883258071970912</v>
      </c>
      <c r="C27" s="210"/>
      <c r="D27" s="211"/>
    </row>
    <row r="28" ht="20" spans="1:4">
      <c r="A28" s="215" t="s">
        <v>87</v>
      </c>
      <c r="B28" s="221">
        <f>'3-直接经济效益评估表'!C50</f>
        <v>1</v>
      </c>
      <c r="C28" s="210"/>
      <c r="D28" s="211"/>
    </row>
    <row r="29" ht="20" spans="1:4">
      <c r="A29" s="215" t="s">
        <v>88</v>
      </c>
      <c r="B29" s="222">
        <f>'3-直接经济效益评估表'!C66</f>
        <v>0.0811575050531681</v>
      </c>
      <c r="C29" s="210"/>
      <c r="D29" s="211"/>
    </row>
    <row r="30" ht="20.75" spans="1:4">
      <c r="A30" s="223" t="s">
        <v>89</v>
      </c>
      <c r="B30" s="224" t="s">
        <v>90</v>
      </c>
      <c r="C30" s="198" t="s">
        <v>91</v>
      </c>
      <c r="D30" s="199"/>
    </row>
    <row r="31" ht="55" customHeight="1" spans="1:4">
      <c r="A31" s="225" t="s">
        <v>92</v>
      </c>
      <c r="B31" s="226" t="s">
        <v>93</v>
      </c>
      <c r="C31" s="227"/>
      <c r="D31" s="228"/>
    </row>
    <row r="33" s="184" customFormat="1" ht="30" customHeight="1" spans="1:4">
      <c r="A33" s="229" t="s">
        <v>94</v>
      </c>
      <c r="B33" s="230"/>
      <c r="C33" s="231"/>
      <c r="D33" s="231"/>
    </row>
    <row r="34" s="184" customFormat="1" ht="38" customHeight="1" spans="1:4">
      <c r="A34" s="232" t="s">
        <v>78</v>
      </c>
      <c r="B34" s="232" t="s">
        <v>95</v>
      </c>
      <c r="C34" s="233" t="s">
        <v>96</v>
      </c>
      <c r="D34" s="234"/>
    </row>
    <row r="35" s="184" customFormat="1" ht="30" customHeight="1" spans="1:4">
      <c r="A35" s="235" t="s">
        <v>97</v>
      </c>
      <c r="B35" s="236" t="s">
        <v>98</v>
      </c>
      <c r="C35" s="237"/>
      <c r="D35" s="238"/>
    </row>
    <row r="36" s="184" customFormat="1" ht="30" customHeight="1" spans="1:4">
      <c r="A36" s="235" t="s">
        <v>99</v>
      </c>
      <c r="B36" s="236" t="s">
        <v>100</v>
      </c>
      <c r="C36" s="237"/>
      <c r="D36" s="238"/>
    </row>
    <row r="37" s="184" customFormat="1" ht="30" customHeight="1" spans="1:4">
      <c r="A37" s="235" t="s">
        <v>101</v>
      </c>
      <c r="B37" s="236" t="s">
        <v>102</v>
      </c>
      <c r="C37" s="237"/>
      <c r="D37" s="238"/>
    </row>
    <row r="38" s="184" customFormat="1" ht="47" customHeight="1" spans="1:4">
      <c r="A38" s="235" t="s">
        <v>103</v>
      </c>
      <c r="B38" s="236" t="s">
        <v>104</v>
      </c>
      <c r="C38" s="237"/>
      <c r="D38" s="238"/>
    </row>
    <row r="39" s="184" customFormat="1" ht="30" customHeight="1" spans="1:4">
      <c r="A39" s="235" t="s">
        <v>105</v>
      </c>
      <c r="B39" s="236" t="s">
        <v>106</v>
      </c>
      <c r="C39" s="237"/>
      <c r="D39" s="238"/>
    </row>
    <row r="40" s="184" customFormat="1" ht="31" customHeight="1" spans="1:4">
      <c r="A40" s="239" t="s">
        <v>107</v>
      </c>
      <c r="B40" s="240" t="s">
        <v>108</v>
      </c>
      <c r="C40" s="241"/>
      <c r="D40" s="242"/>
    </row>
  </sheetData>
  <mergeCells count="18">
    <mergeCell ref="A2:C2"/>
    <mergeCell ref="A3:B3"/>
    <mergeCell ref="C3:D3"/>
    <mergeCell ref="A19:B19"/>
    <mergeCell ref="C19:D19"/>
    <mergeCell ref="A33:D33"/>
    <mergeCell ref="C34:D34"/>
    <mergeCell ref="C35:D35"/>
    <mergeCell ref="C36:D36"/>
    <mergeCell ref="C37:D37"/>
    <mergeCell ref="C38:D38"/>
    <mergeCell ref="C39:D39"/>
    <mergeCell ref="C40:D40"/>
    <mergeCell ref="C4:D9"/>
    <mergeCell ref="C15:D18"/>
    <mergeCell ref="C20:D29"/>
    <mergeCell ref="C30:D31"/>
    <mergeCell ref="C10:D14"/>
  </mergeCells>
  <pageMargins left="0.75" right="0.75" top="1" bottom="1" header="0.5" footer="0.5"/>
  <pageSetup paperSize="9" scale="61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3"/>
  <sheetViews>
    <sheetView zoomScale="74" zoomScaleNormal="74" topLeftCell="A2" workbookViewId="0">
      <selection activeCell="Q16" sqref="Q16"/>
    </sheetView>
  </sheetViews>
  <sheetFormatPr defaultColWidth="9" defaultRowHeight="17.5"/>
  <cols>
    <col min="1" max="1" width="4.66363636363636" style="23" customWidth="1"/>
    <col min="2" max="2" width="18.8181818181818" style="23" customWidth="1"/>
    <col min="3" max="3" width="21.1818181818182" style="23" customWidth="1"/>
    <col min="4" max="4" width="22.7818181818182" style="23" customWidth="1"/>
    <col min="5" max="6" width="20.7818181818182" style="23" customWidth="1"/>
    <col min="7" max="7" width="16.8909090909091" style="23" customWidth="1"/>
    <col min="8" max="8" width="15.8909090909091" style="23" customWidth="1"/>
    <col min="9" max="9" width="3.21818181818182" style="23" hidden="1" customWidth="1"/>
    <col min="10" max="10" width="11.2181818181818" style="23" customWidth="1"/>
    <col min="11" max="11" width="9.78181818181818" style="23" customWidth="1"/>
    <col min="12" max="12" width="18.3727272727273" style="23" customWidth="1"/>
    <col min="13" max="13" width="11.2181818181818" style="23" customWidth="1"/>
    <col min="14" max="14" width="9.78181818181818" style="23" customWidth="1"/>
    <col min="15" max="15" width="19.5545454545455" style="23" customWidth="1"/>
    <col min="16" max="16" width="0.218181818181818" style="23" hidden="1" customWidth="1"/>
    <col min="17" max="17" width="17.1909090909091" style="23" customWidth="1"/>
    <col min="18" max="18" width="50.1181818181818" style="23" customWidth="1"/>
    <col min="19" max="19" width="25.2363636363636" style="23" customWidth="1"/>
    <col min="20" max="20" width="14.4454545454545" style="23" customWidth="1"/>
    <col min="21" max="21" width="17.6818181818182" style="23" customWidth="1"/>
    <col min="22" max="22" width="27.5090909090909" style="23" customWidth="1"/>
    <col min="23" max="23" width="15.2181818181818" style="24" customWidth="1"/>
    <col min="24" max="16384" width="9" style="23"/>
  </cols>
  <sheetData>
    <row r="1" ht="37.5" customHeight="1" spans="1:23">
      <c r="A1" s="25"/>
      <c r="B1" s="26" t="s">
        <v>109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8"/>
      <c r="R1" s="24"/>
      <c r="S1" s="24"/>
      <c r="T1" s="29"/>
      <c r="U1" s="29"/>
      <c r="V1" s="24"/>
      <c r="W1" s="29"/>
    </row>
    <row r="2" ht="36.75" customHeight="1" spans="1:23">
      <c r="A2" s="30" t="s">
        <v>110</v>
      </c>
      <c r="B2" s="30"/>
      <c r="C2" s="30" t="s">
        <v>54</v>
      </c>
      <c r="D2" s="31" t="s">
        <v>55</v>
      </c>
      <c r="E2" s="32"/>
      <c r="F2" s="33"/>
      <c r="G2" s="30" t="s">
        <v>111</v>
      </c>
      <c r="H2" s="31"/>
      <c r="I2" s="32"/>
      <c r="J2" s="32"/>
      <c r="K2" s="32"/>
      <c r="L2" s="32"/>
      <c r="M2" s="32"/>
      <c r="N2" s="32"/>
      <c r="O2" s="32"/>
      <c r="P2" s="33"/>
      <c r="Q2" s="34"/>
      <c r="R2" s="34"/>
      <c r="S2" s="35"/>
      <c r="T2" s="35"/>
      <c r="U2" s="36"/>
      <c r="V2" s="25"/>
      <c r="W2" s="23"/>
    </row>
    <row r="3" ht="21" customHeight="1" spans="1:23">
      <c r="A3" s="37" t="s">
        <v>112</v>
      </c>
      <c r="B3" s="38"/>
      <c r="C3" s="39" t="s">
        <v>113</v>
      </c>
      <c r="D3" s="40" t="s">
        <v>114</v>
      </c>
      <c r="E3" s="40"/>
      <c r="F3" s="40"/>
      <c r="G3" s="41">
        <f>Q3/1.06</f>
        <v>171758.490566038</v>
      </c>
      <c r="H3" s="30" t="s">
        <v>115</v>
      </c>
      <c r="I3" s="42" t="s">
        <v>116</v>
      </c>
      <c r="J3" s="42"/>
      <c r="K3" s="42"/>
      <c r="L3" s="42"/>
      <c r="M3" s="42"/>
      <c r="N3" s="42"/>
      <c r="O3" s="42"/>
      <c r="P3" s="42"/>
      <c r="Q3" s="43">
        <v>182064</v>
      </c>
      <c r="R3" s="25"/>
      <c r="S3" s="25"/>
      <c r="T3" s="25"/>
      <c r="U3" s="36"/>
      <c r="V3" s="25"/>
      <c r="W3" s="36"/>
    </row>
    <row r="4" ht="21" customHeight="1" spans="1:23">
      <c r="A4" s="44"/>
      <c r="B4" s="45"/>
      <c r="C4" s="46"/>
      <c r="D4" s="40" t="s">
        <v>117</v>
      </c>
      <c r="E4" s="40"/>
      <c r="F4" s="40"/>
      <c r="G4" s="47"/>
      <c r="H4" s="30" t="s">
        <v>115</v>
      </c>
      <c r="I4" s="42" t="s">
        <v>116</v>
      </c>
      <c r="J4" s="42"/>
      <c r="K4" s="42"/>
      <c r="L4" s="42"/>
      <c r="M4" s="42"/>
      <c r="N4" s="42"/>
      <c r="O4" s="42"/>
      <c r="P4" s="42"/>
      <c r="Q4" s="43"/>
      <c r="R4" s="25"/>
      <c r="S4" s="25"/>
      <c r="T4" s="25"/>
      <c r="U4" s="25"/>
      <c r="V4" s="25"/>
    </row>
    <row r="5" ht="21" customHeight="1" spans="1:23">
      <c r="A5" s="44"/>
      <c r="B5" s="45"/>
      <c r="C5" s="46"/>
      <c r="D5" s="40" t="s">
        <v>118</v>
      </c>
      <c r="E5" s="40"/>
      <c r="F5" s="40"/>
      <c r="G5" s="47"/>
      <c r="H5" s="30" t="s">
        <v>115</v>
      </c>
      <c r="I5" s="42" t="s">
        <v>116</v>
      </c>
      <c r="J5" s="42"/>
      <c r="K5" s="42"/>
      <c r="L5" s="42"/>
      <c r="M5" s="42"/>
      <c r="N5" s="42"/>
      <c r="O5" s="42"/>
      <c r="P5" s="42"/>
      <c r="Q5" s="43"/>
      <c r="R5" s="25"/>
      <c r="S5" s="25"/>
      <c r="T5" s="25"/>
      <c r="U5" s="25"/>
      <c r="V5" s="25"/>
    </row>
    <row r="6" ht="21" customHeight="1" spans="1:23">
      <c r="A6" s="44"/>
      <c r="B6" s="45"/>
      <c r="C6" s="46"/>
      <c r="D6" s="48" t="s">
        <v>119</v>
      </c>
      <c r="E6" s="49"/>
      <c r="F6" s="50"/>
      <c r="G6" s="47"/>
      <c r="H6" s="30" t="s">
        <v>115</v>
      </c>
      <c r="I6" s="42"/>
      <c r="J6" s="51" t="s">
        <v>116</v>
      </c>
      <c r="K6" s="52"/>
      <c r="L6" s="52"/>
      <c r="M6" s="52"/>
      <c r="N6" s="52"/>
      <c r="O6" s="53"/>
      <c r="P6" s="42"/>
      <c r="Q6" s="43"/>
      <c r="R6" s="25"/>
      <c r="S6" s="25"/>
      <c r="T6" s="25"/>
      <c r="U6" s="25"/>
      <c r="V6" s="25"/>
    </row>
    <row r="7" ht="21" customHeight="1" spans="1:23">
      <c r="A7" s="44"/>
      <c r="B7" s="45"/>
      <c r="C7" s="46"/>
      <c r="D7" s="48" t="s">
        <v>120</v>
      </c>
      <c r="E7" s="49"/>
      <c r="F7" s="50"/>
      <c r="G7" s="47"/>
      <c r="H7" s="30" t="s">
        <v>115</v>
      </c>
      <c r="I7" s="42"/>
      <c r="J7" s="51" t="s">
        <v>116</v>
      </c>
      <c r="K7" s="52"/>
      <c r="L7" s="52"/>
      <c r="M7" s="52"/>
      <c r="N7" s="52"/>
      <c r="O7" s="53"/>
      <c r="P7" s="42"/>
      <c r="Q7" s="43"/>
      <c r="R7" s="25"/>
      <c r="S7" s="25"/>
      <c r="T7" s="25"/>
      <c r="U7" s="25"/>
      <c r="V7" s="25"/>
    </row>
    <row r="8" ht="21" customHeight="1" spans="1:23">
      <c r="A8" s="44"/>
      <c r="B8" s="45"/>
      <c r="C8" s="54"/>
      <c r="D8" s="40" t="s">
        <v>121</v>
      </c>
      <c r="E8" s="40"/>
      <c r="F8" s="40"/>
      <c r="G8" s="47"/>
      <c r="H8" s="30" t="s">
        <v>115</v>
      </c>
      <c r="I8" s="42" t="s">
        <v>116</v>
      </c>
      <c r="J8" s="42"/>
      <c r="K8" s="42"/>
      <c r="L8" s="42"/>
      <c r="M8" s="42"/>
      <c r="N8" s="42"/>
      <c r="O8" s="42"/>
      <c r="P8" s="42"/>
      <c r="Q8" s="43"/>
      <c r="R8" s="25"/>
      <c r="S8" s="25"/>
      <c r="T8" s="25"/>
      <c r="U8" s="25"/>
      <c r="V8" s="25"/>
    </row>
    <row r="9" ht="21" customHeight="1" spans="1:23">
      <c r="A9" s="44"/>
      <c r="B9" s="45"/>
      <c r="C9" s="39" t="s">
        <v>75</v>
      </c>
      <c r="D9" s="49" t="s">
        <v>122</v>
      </c>
      <c r="E9" s="49"/>
      <c r="F9" s="50"/>
      <c r="G9" s="47"/>
      <c r="H9" s="30" t="s">
        <v>115</v>
      </c>
      <c r="I9" s="42" t="s">
        <v>123</v>
      </c>
      <c r="J9" s="42"/>
      <c r="K9" s="42"/>
      <c r="L9" s="42"/>
      <c r="M9" s="42"/>
      <c r="N9" s="42"/>
      <c r="O9" s="42"/>
      <c r="P9" s="42"/>
      <c r="Q9" s="43"/>
      <c r="R9" s="25"/>
      <c r="S9" s="24"/>
      <c r="T9" s="29"/>
      <c r="U9" s="29"/>
      <c r="V9" s="24"/>
      <c r="W9" s="29"/>
    </row>
    <row r="10" ht="21" customHeight="1" spans="1:23">
      <c r="A10" s="44"/>
      <c r="B10" s="45"/>
      <c r="C10" s="46"/>
      <c r="D10" s="49" t="s">
        <v>124</v>
      </c>
      <c r="E10" s="49"/>
      <c r="F10" s="50"/>
      <c r="G10" s="41">
        <f>Q10/1.06</f>
        <v>22.6415094339623</v>
      </c>
      <c r="H10" s="30" t="s">
        <v>115</v>
      </c>
      <c r="I10" s="42" t="s">
        <v>123</v>
      </c>
      <c r="J10" s="42"/>
      <c r="K10" s="42"/>
      <c r="L10" s="42"/>
      <c r="M10" s="42"/>
      <c r="N10" s="42"/>
      <c r="O10" s="42"/>
      <c r="P10" s="42"/>
      <c r="Q10" s="43">
        <v>24</v>
      </c>
      <c r="R10" s="34"/>
      <c r="S10" s="29"/>
      <c r="T10" s="29"/>
      <c r="U10" s="55"/>
      <c r="V10" s="24"/>
    </row>
    <row r="11" ht="21" customHeight="1" spans="1:23">
      <c r="A11" s="44"/>
      <c r="B11" s="56"/>
      <c r="C11" s="30" t="s">
        <v>76</v>
      </c>
      <c r="D11" s="49" t="s">
        <v>125</v>
      </c>
      <c r="E11" s="49"/>
      <c r="F11" s="50"/>
      <c r="G11" s="47"/>
      <c r="H11" s="30" t="s">
        <v>115</v>
      </c>
      <c r="I11" s="42" t="s">
        <v>123</v>
      </c>
      <c r="J11" s="42"/>
      <c r="K11" s="42"/>
      <c r="L11" s="42"/>
      <c r="M11" s="42"/>
      <c r="N11" s="42"/>
      <c r="O11" s="42"/>
      <c r="P11" s="42"/>
      <c r="Q11" s="43"/>
      <c r="R11" s="34"/>
      <c r="S11" s="35"/>
      <c r="T11" s="35"/>
      <c r="U11" s="36"/>
      <c r="V11" s="25"/>
      <c r="W11" s="23"/>
    </row>
    <row r="12" ht="21" customHeight="1" spans="1:23">
      <c r="A12" s="57"/>
      <c r="B12" s="58"/>
      <c r="C12" s="54" t="s">
        <v>126</v>
      </c>
      <c r="D12" s="49" t="s">
        <v>127</v>
      </c>
      <c r="E12" s="49"/>
      <c r="F12" s="50"/>
      <c r="G12" s="59">
        <f>SUM(G3:G11)</f>
        <v>171781.132075472</v>
      </c>
      <c r="H12" s="30"/>
      <c r="I12" s="42"/>
      <c r="J12" s="31"/>
      <c r="K12" s="32"/>
      <c r="L12" s="32"/>
      <c r="M12" s="32"/>
      <c r="N12" s="32"/>
      <c r="O12" s="33"/>
      <c r="P12" s="42"/>
      <c r="Q12" s="60">
        <f>Q3+Q10</f>
        <v>182088</v>
      </c>
      <c r="R12" s="34"/>
      <c r="S12" s="35"/>
      <c r="T12" s="35"/>
      <c r="U12" s="36"/>
      <c r="V12" s="25"/>
      <c r="W12" s="23"/>
    </row>
    <row r="13" ht="21" customHeight="1" spans="1:23">
      <c r="A13" s="37" t="s">
        <v>128</v>
      </c>
      <c r="B13" s="38"/>
      <c r="C13" s="61" t="s">
        <v>129</v>
      </c>
      <c r="D13" s="62" t="s">
        <v>130</v>
      </c>
      <c r="E13" s="63" t="s">
        <v>131</v>
      </c>
      <c r="F13" s="63"/>
      <c r="G13" s="64"/>
      <c r="H13" s="30" t="s">
        <v>115</v>
      </c>
      <c r="I13" s="42" t="s">
        <v>116</v>
      </c>
      <c r="J13" s="42"/>
      <c r="K13" s="42"/>
      <c r="L13" s="42"/>
      <c r="M13" s="42"/>
      <c r="N13" s="42"/>
      <c r="O13" s="42"/>
      <c r="P13" s="42"/>
      <c r="Q13" s="43"/>
      <c r="R13" s="34"/>
      <c r="S13" s="35"/>
      <c r="T13" s="35"/>
      <c r="U13" s="36"/>
      <c r="V13" s="25"/>
    </row>
    <row r="14" ht="21" customHeight="1" spans="1:23">
      <c r="A14" s="44"/>
      <c r="B14" s="45"/>
      <c r="C14" s="61"/>
      <c r="D14" s="65"/>
      <c r="E14" s="63" t="s">
        <v>132</v>
      </c>
      <c r="F14" s="63"/>
      <c r="G14" s="64"/>
      <c r="H14" s="30" t="s">
        <v>115</v>
      </c>
      <c r="I14" s="42" t="s">
        <v>116</v>
      </c>
      <c r="J14" s="42"/>
      <c r="K14" s="42"/>
      <c r="L14" s="42"/>
      <c r="M14" s="42"/>
      <c r="N14" s="42"/>
      <c r="O14" s="42"/>
      <c r="P14" s="42"/>
      <c r="Q14" s="43"/>
      <c r="R14" s="34"/>
      <c r="S14" s="35"/>
      <c r="T14" s="35"/>
      <c r="U14" s="36"/>
      <c r="V14" s="25"/>
    </row>
    <row r="15" ht="21" customHeight="1" spans="1:23">
      <c r="A15" s="44"/>
      <c r="B15" s="45"/>
      <c r="C15" s="61"/>
      <c r="D15" s="65"/>
      <c r="E15" s="63" t="s">
        <v>133</v>
      </c>
      <c r="F15" s="63"/>
      <c r="G15" s="64"/>
      <c r="H15" s="30" t="s">
        <v>115</v>
      </c>
      <c r="I15" s="42" t="s">
        <v>116</v>
      </c>
      <c r="J15" s="42"/>
      <c r="K15" s="42"/>
      <c r="L15" s="42"/>
      <c r="M15" s="42"/>
      <c r="N15" s="42"/>
      <c r="O15" s="42"/>
      <c r="P15" s="42"/>
      <c r="Q15" s="43"/>
      <c r="R15" s="34"/>
      <c r="S15" s="35"/>
      <c r="T15" s="35"/>
      <c r="U15" s="36"/>
      <c r="V15" s="25"/>
    </row>
    <row r="16" ht="21" customHeight="1" spans="1:23">
      <c r="A16" s="44"/>
      <c r="B16" s="45"/>
      <c r="C16" s="61"/>
      <c r="D16" s="65"/>
      <c r="E16" s="66" t="s">
        <v>134</v>
      </c>
      <c r="F16" s="67"/>
      <c r="G16" s="68">
        <f>Q16/1.06</f>
        <v>157819</v>
      </c>
      <c r="H16" s="30" t="s">
        <v>115</v>
      </c>
      <c r="I16" s="42"/>
      <c r="J16" s="51" t="s">
        <v>116</v>
      </c>
      <c r="K16" s="52"/>
      <c r="L16" s="52"/>
      <c r="M16" s="52"/>
      <c r="N16" s="52"/>
      <c r="O16" s="53"/>
      <c r="P16" s="42"/>
      <c r="Q16" s="43">
        <v>167288.14</v>
      </c>
      <c r="R16" s="34"/>
      <c r="S16" s="35"/>
      <c r="T16" s="35"/>
      <c r="U16" s="36"/>
      <c r="V16" s="25"/>
    </row>
    <row r="17" ht="21" customHeight="1" spans="1:24">
      <c r="A17" s="44"/>
      <c r="B17" s="45"/>
      <c r="C17" s="61"/>
      <c r="D17" s="69"/>
      <c r="E17" s="66" t="s">
        <v>135</v>
      </c>
      <c r="F17" s="67"/>
      <c r="G17" s="47"/>
      <c r="H17" s="30" t="s">
        <v>115</v>
      </c>
      <c r="I17" s="42"/>
      <c r="J17" s="51" t="s">
        <v>116</v>
      </c>
      <c r="K17" s="52"/>
      <c r="L17" s="52"/>
      <c r="M17" s="52"/>
      <c r="N17" s="52"/>
      <c r="O17" s="53"/>
      <c r="P17" s="42"/>
      <c r="Q17" s="43"/>
      <c r="R17" s="34"/>
      <c r="S17" s="35"/>
      <c r="T17" s="35"/>
      <c r="U17" s="36"/>
      <c r="V17" s="25"/>
      <c r="W17" s="36"/>
      <c r="X17" s="70"/>
    </row>
    <row r="18" ht="21" customHeight="1" spans="1:24">
      <c r="A18" s="44"/>
      <c r="B18" s="45"/>
      <c r="C18" s="61"/>
      <c r="D18" s="71" t="s">
        <v>136</v>
      </c>
      <c r="E18" s="66" t="s">
        <v>137</v>
      </c>
      <c r="F18" s="67"/>
      <c r="G18" s="47"/>
      <c r="H18" s="30" t="s">
        <v>115</v>
      </c>
      <c r="I18" s="42" t="s">
        <v>116</v>
      </c>
      <c r="J18" s="42"/>
      <c r="K18" s="42"/>
      <c r="L18" s="42"/>
      <c r="M18" s="42"/>
      <c r="N18" s="42"/>
      <c r="O18" s="42"/>
      <c r="P18" s="42"/>
      <c r="Q18" s="43"/>
      <c r="R18" s="34"/>
      <c r="S18" s="35"/>
      <c r="T18" s="35"/>
      <c r="U18" s="36"/>
      <c r="V18" s="25"/>
      <c r="W18" s="36"/>
      <c r="X18" s="70"/>
    </row>
    <row r="19" ht="21" customHeight="1" spans="1:24">
      <c r="A19" s="44"/>
      <c r="B19" s="45"/>
      <c r="C19" s="61"/>
      <c r="D19" s="71"/>
      <c r="E19" s="66" t="s">
        <v>138</v>
      </c>
      <c r="F19" s="67"/>
      <c r="G19" s="47"/>
      <c r="H19" s="30" t="s">
        <v>115</v>
      </c>
      <c r="I19" s="51" t="s">
        <v>116</v>
      </c>
      <c r="J19" s="52"/>
      <c r="K19" s="52"/>
      <c r="L19" s="52"/>
      <c r="M19" s="52"/>
      <c r="N19" s="52"/>
      <c r="O19" s="52"/>
      <c r="P19" s="53"/>
      <c r="Q19" s="43"/>
      <c r="R19" s="34"/>
      <c r="S19" s="35"/>
      <c r="T19" s="35"/>
      <c r="U19" s="36"/>
      <c r="V19" s="25"/>
      <c r="X19" s="70"/>
    </row>
    <row r="20" ht="21" customHeight="1" spans="1:24">
      <c r="A20" s="44"/>
      <c r="B20" s="45"/>
      <c r="C20" s="61"/>
      <c r="D20" s="72" t="s">
        <v>135</v>
      </c>
      <c r="E20" s="66" t="s">
        <v>139</v>
      </c>
      <c r="F20" s="67"/>
      <c r="G20" s="47"/>
      <c r="H20" s="30" t="s">
        <v>115</v>
      </c>
      <c r="I20" s="51" t="s">
        <v>116</v>
      </c>
      <c r="J20" s="52"/>
      <c r="K20" s="52"/>
      <c r="L20" s="52"/>
      <c r="M20" s="52"/>
      <c r="N20" s="52"/>
      <c r="O20" s="52"/>
      <c r="P20" s="53"/>
      <c r="Q20" s="43"/>
      <c r="R20" s="34" t="s">
        <v>140</v>
      </c>
      <c r="S20" s="35">
        <v>171781</v>
      </c>
      <c r="T20" s="35">
        <f>S20*1.06</f>
        <v>182087.86</v>
      </c>
      <c r="U20" s="36">
        <f>S20+S21</f>
        <v>173397.12</v>
      </c>
      <c r="V20" s="25">
        <f>U20-Q16</f>
        <v>6108.97999999998</v>
      </c>
      <c r="X20" s="70"/>
    </row>
    <row r="21" ht="21" customHeight="1" spans="1:24">
      <c r="A21" s="44"/>
      <c r="B21" s="45"/>
      <c r="C21" s="61"/>
      <c r="D21" s="61"/>
      <c r="E21" s="66" t="s">
        <v>141</v>
      </c>
      <c r="F21" s="67"/>
      <c r="G21" s="47"/>
      <c r="H21" s="30" t="s">
        <v>115</v>
      </c>
      <c r="I21" s="51" t="s">
        <v>116</v>
      </c>
      <c r="J21" s="52"/>
      <c r="K21" s="52"/>
      <c r="L21" s="52"/>
      <c r="M21" s="52"/>
      <c r="N21" s="52"/>
      <c r="O21" s="52"/>
      <c r="P21" s="53"/>
      <c r="Q21" s="43"/>
      <c r="R21" s="34" t="s">
        <v>142</v>
      </c>
      <c r="S21" s="35">
        <v>1616.12</v>
      </c>
      <c r="T21" s="35"/>
      <c r="U21" s="36"/>
      <c r="V21" s="25"/>
      <c r="X21" s="70"/>
    </row>
    <row r="22" ht="21" customHeight="1" spans="1:24">
      <c r="A22" s="44"/>
      <c r="B22" s="45"/>
      <c r="C22" s="61"/>
      <c r="D22" s="61"/>
      <c r="E22" s="66" t="s">
        <v>143</v>
      </c>
      <c r="F22" s="67"/>
      <c r="G22" s="47"/>
      <c r="H22" s="30" t="s">
        <v>115</v>
      </c>
      <c r="I22" s="51" t="s">
        <v>116</v>
      </c>
      <c r="J22" s="52"/>
      <c r="K22" s="52"/>
      <c r="L22" s="52"/>
      <c r="M22" s="52"/>
      <c r="N22" s="52"/>
      <c r="O22" s="52"/>
      <c r="P22" s="53"/>
      <c r="Q22" s="43"/>
      <c r="R22" s="34" t="s">
        <v>144</v>
      </c>
      <c r="S22" s="35">
        <v>80</v>
      </c>
      <c r="T22" s="35"/>
      <c r="U22" s="36"/>
      <c r="V22" s="25"/>
      <c r="X22" s="70"/>
    </row>
    <row r="23" ht="21" customHeight="1" spans="1:24">
      <c r="A23" s="44"/>
      <c r="B23" s="45"/>
      <c r="C23" s="72" t="s">
        <v>145</v>
      </c>
      <c r="D23" s="72" t="s">
        <v>146</v>
      </c>
      <c r="E23" s="66" t="s">
        <v>147</v>
      </c>
      <c r="F23" s="67"/>
      <c r="G23" s="47"/>
      <c r="H23" s="30" t="s">
        <v>115</v>
      </c>
      <c r="I23" s="51" t="s">
        <v>123</v>
      </c>
      <c r="J23" s="52"/>
      <c r="K23" s="52"/>
      <c r="L23" s="52"/>
      <c r="M23" s="52"/>
      <c r="N23" s="52"/>
      <c r="O23" s="52"/>
      <c r="P23" s="53"/>
      <c r="Q23" s="43"/>
      <c r="R23" s="34" t="s">
        <v>148</v>
      </c>
      <c r="S23" s="34">
        <f>SUM(S20:S22)</f>
        <v>173477.12</v>
      </c>
      <c r="T23" s="25"/>
      <c r="U23" s="36"/>
      <c r="V23" s="25"/>
      <c r="W23" s="36"/>
    </row>
    <row r="24" ht="21" customHeight="1" spans="1:24">
      <c r="A24" s="44"/>
      <c r="B24" s="45"/>
      <c r="C24" s="61"/>
      <c r="D24" s="61"/>
      <c r="E24" s="66" t="s">
        <v>149</v>
      </c>
      <c r="F24" s="67"/>
      <c r="G24" s="47"/>
      <c r="H24" s="30" t="s">
        <v>115</v>
      </c>
      <c r="I24" s="51" t="s">
        <v>150</v>
      </c>
      <c r="J24" s="52"/>
      <c r="K24" s="52"/>
      <c r="L24" s="52"/>
      <c r="M24" s="52"/>
      <c r="N24" s="52"/>
      <c r="O24" s="52"/>
      <c r="P24" s="53"/>
      <c r="Q24" s="43"/>
      <c r="R24" s="34"/>
      <c r="S24" s="25"/>
      <c r="T24" s="25"/>
      <c r="U24" s="25"/>
      <c r="V24" s="25"/>
    </row>
    <row r="25" ht="40" customHeight="1" spans="1:24">
      <c r="A25" s="44"/>
      <c r="B25" s="45"/>
      <c r="C25" s="61"/>
      <c r="D25" s="61"/>
      <c r="E25" s="73" t="s">
        <v>151</v>
      </c>
      <c r="F25" s="74"/>
      <c r="G25" s="41">
        <f>Q25/1.06</f>
        <v>22.6415094339623</v>
      </c>
      <c r="H25" s="30" t="s">
        <v>115</v>
      </c>
      <c r="I25" s="51"/>
      <c r="J25" s="52" t="s">
        <v>123</v>
      </c>
      <c r="K25" s="52"/>
      <c r="L25" s="52"/>
      <c r="M25" s="52"/>
      <c r="N25" s="52"/>
      <c r="O25" s="52"/>
      <c r="P25" s="53"/>
      <c r="Q25" s="43">
        <v>24</v>
      </c>
      <c r="R25" s="34"/>
      <c r="S25" s="34"/>
      <c r="T25" s="34"/>
      <c r="U25" s="75"/>
      <c r="V25" s="25"/>
      <c r="W25" s="23"/>
    </row>
    <row r="26" ht="21" customHeight="1" spans="1:24">
      <c r="A26" s="44"/>
      <c r="B26" s="45"/>
      <c r="C26" s="61"/>
      <c r="D26" s="76" t="s">
        <v>152</v>
      </c>
      <c r="E26" s="77" t="s">
        <v>153</v>
      </c>
      <c r="F26" s="78"/>
      <c r="G26" s="33"/>
      <c r="H26" s="30" t="s">
        <v>115</v>
      </c>
      <c r="I26" s="51" t="s">
        <v>123</v>
      </c>
      <c r="J26" s="52"/>
      <c r="K26" s="52"/>
      <c r="L26" s="52"/>
      <c r="M26" s="52"/>
      <c r="N26" s="52"/>
      <c r="O26" s="52"/>
      <c r="P26" s="53"/>
      <c r="Q26" s="43"/>
      <c r="R26" s="34"/>
      <c r="S26" s="34"/>
      <c r="T26" s="34"/>
      <c r="U26" s="75"/>
      <c r="V26" s="25"/>
      <c r="W26" s="23"/>
    </row>
    <row r="27" ht="21" customHeight="1" spans="1:24">
      <c r="A27" s="44"/>
      <c r="B27" s="45"/>
      <c r="C27" s="79"/>
      <c r="D27" s="80"/>
      <c r="E27" s="81" t="s">
        <v>154</v>
      </c>
      <c r="F27" s="82"/>
      <c r="G27" s="33"/>
      <c r="H27" s="30" t="s">
        <v>115</v>
      </c>
      <c r="I27" s="51" t="s">
        <v>123</v>
      </c>
      <c r="J27" s="52"/>
      <c r="K27" s="52"/>
      <c r="L27" s="52"/>
      <c r="M27" s="52"/>
      <c r="N27" s="52"/>
      <c r="O27" s="52"/>
      <c r="P27" s="53"/>
      <c r="Q27" s="43"/>
      <c r="R27" s="34"/>
      <c r="S27" s="34"/>
      <c r="T27" s="34"/>
      <c r="U27" s="75"/>
      <c r="V27" s="25"/>
      <c r="W27" s="23"/>
    </row>
    <row r="28" ht="21" customHeight="1" spans="1:24">
      <c r="A28" s="44"/>
      <c r="B28" s="45"/>
      <c r="C28" s="61" t="s">
        <v>70</v>
      </c>
      <c r="D28" s="71" t="s">
        <v>155</v>
      </c>
      <c r="E28" s="83" t="s">
        <v>156</v>
      </c>
      <c r="F28" s="84"/>
      <c r="G28" s="33"/>
      <c r="H28" s="30" t="s">
        <v>115</v>
      </c>
      <c r="I28" s="51" t="s">
        <v>123</v>
      </c>
      <c r="J28" s="52"/>
      <c r="K28" s="52"/>
      <c r="L28" s="52"/>
      <c r="M28" s="52"/>
      <c r="N28" s="52"/>
      <c r="O28" s="52"/>
      <c r="P28" s="53"/>
      <c r="Q28" s="43"/>
      <c r="R28" s="34"/>
      <c r="S28" s="34"/>
      <c r="T28" s="34"/>
      <c r="U28" s="75"/>
      <c r="V28" s="25"/>
      <c r="W28" s="23"/>
    </row>
    <row r="29" ht="23.4" customHeight="1" spans="1:24">
      <c r="A29" s="44"/>
      <c r="B29" s="45"/>
      <c r="C29" s="85" t="s">
        <v>71</v>
      </c>
      <c r="D29" s="86" t="s">
        <v>157</v>
      </c>
      <c r="E29" s="87"/>
      <c r="F29" s="88"/>
      <c r="G29" s="47"/>
      <c r="H29" s="30" t="s">
        <v>115</v>
      </c>
      <c r="I29" s="42"/>
      <c r="J29" s="42"/>
      <c r="K29" s="42"/>
      <c r="L29" s="42"/>
      <c r="M29" s="42"/>
      <c r="N29" s="42"/>
      <c r="O29" s="42"/>
      <c r="P29" s="42"/>
      <c r="Q29" s="43"/>
      <c r="R29" s="34"/>
      <c r="S29" s="34"/>
      <c r="T29" s="34"/>
      <c r="U29" s="75"/>
      <c r="V29" s="25"/>
      <c r="W29" s="23"/>
    </row>
    <row r="30" ht="21" customHeight="1" spans="1:24">
      <c r="A30" s="44"/>
      <c r="B30" s="45"/>
      <c r="C30" s="61"/>
      <c r="D30" s="89" t="s">
        <v>158</v>
      </c>
      <c r="E30" s="89"/>
      <c r="F30" s="89"/>
      <c r="G30" s="47"/>
      <c r="H30" s="30" t="s">
        <v>115</v>
      </c>
      <c r="I30" s="42"/>
      <c r="J30" s="42"/>
      <c r="K30" s="42"/>
      <c r="L30" s="42"/>
      <c r="M30" s="42"/>
      <c r="N30" s="42"/>
      <c r="O30" s="42"/>
      <c r="P30" s="42"/>
      <c r="Q30" s="43"/>
      <c r="R30" s="34"/>
      <c r="S30" s="34"/>
      <c r="T30" s="34"/>
      <c r="U30" s="75"/>
      <c r="V30" s="25"/>
      <c r="W30" s="23"/>
    </row>
    <row r="31" ht="21" customHeight="1" spans="1:24">
      <c r="A31" s="44"/>
      <c r="B31" s="45"/>
      <c r="C31" s="61"/>
      <c r="D31" s="66" t="s">
        <v>159</v>
      </c>
      <c r="E31" s="90"/>
      <c r="F31" s="90"/>
      <c r="G31" s="47"/>
      <c r="H31" s="30" t="s">
        <v>115</v>
      </c>
      <c r="I31" s="91"/>
      <c r="J31" s="31"/>
      <c r="K31" s="32"/>
      <c r="L31" s="32"/>
      <c r="M31" s="32"/>
      <c r="N31" s="32"/>
      <c r="O31" s="32"/>
      <c r="P31" s="92"/>
      <c r="Q31" s="43"/>
      <c r="R31" s="34"/>
      <c r="S31" s="34"/>
      <c r="T31" s="34"/>
      <c r="U31" s="75"/>
      <c r="V31" s="25"/>
      <c r="W31" s="23"/>
    </row>
    <row r="32" ht="21" customHeight="1" spans="1:24">
      <c r="A32" s="57"/>
      <c r="B32" s="58"/>
      <c r="C32" s="71" t="s">
        <v>126</v>
      </c>
      <c r="D32" s="93" t="s">
        <v>160</v>
      </c>
      <c r="E32" s="93"/>
      <c r="F32" s="93"/>
      <c r="G32" s="94">
        <f>SUM(G13:G31)</f>
        <v>157841.641509434</v>
      </c>
      <c r="H32" s="95"/>
      <c r="I32" s="91"/>
      <c r="J32" s="31"/>
      <c r="K32" s="32"/>
      <c r="L32" s="32"/>
      <c r="M32" s="32"/>
      <c r="N32" s="32"/>
      <c r="O32" s="32"/>
      <c r="P32" s="92"/>
      <c r="Q32" s="43">
        <f>Q16+Q25</f>
        <v>167312.14</v>
      </c>
      <c r="R32" s="34"/>
      <c r="S32" s="34"/>
      <c r="T32" s="34"/>
      <c r="U32" s="75"/>
      <c r="V32" s="25"/>
      <c r="W32" s="23"/>
    </row>
    <row r="33" ht="21" customHeight="1" spans="1:24">
      <c r="A33" s="30" t="s">
        <v>161</v>
      </c>
      <c r="B33" s="96"/>
      <c r="C33" s="97" t="s">
        <v>80</v>
      </c>
      <c r="D33" s="98">
        <v>0.055</v>
      </c>
      <c r="E33" s="99"/>
      <c r="F33" s="99"/>
      <c r="G33" s="99"/>
      <c r="H33" s="100"/>
      <c r="I33" s="101"/>
      <c r="J33" s="102" t="s">
        <v>162</v>
      </c>
      <c r="K33" s="103"/>
      <c r="L33" s="104" t="s">
        <v>163</v>
      </c>
      <c r="M33" s="102" t="s">
        <v>164</v>
      </c>
      <c r="N33" s="103"/>
      <c r="O33" s="105" t="s">
        <v>165</v>
      </c>
      <c r="P33" s="106"/>
      <c r="Q33" s="107"/>
      <c r="R33" s="75"/>
      <c r="S33" s="75"/>
      <c r="T33" s="75"/>
      <c r="U33" s="75"/>
      <c r="V33" s="75"/>
      <c r="W33" s="23"/>
    </row>
    <row r="34" ht="21" customHeight="1" spans="1:24">
      <c r="A34" s="105" t="s">
        <v>166</v>
      </c>
      <c r="B34" s="106"/>
      <c r="C34" s="30" t="s">
        <v>167</v>
      </c>
      <c r="D34" s="30" t="s">
        <v>168</v>
      </c>
      <c r="E34" s="108">
        <f>G12</f>
        <v>171781.132075472</v>
      </c>
      <c r="F34" s="30" t="s">
        <v>169</v>
      </c>
      <c r="G34" s="109">
        <f>G32</f>
        <v>157841.641509434</v>
      </c>
      <c r="H34" s="110"/>
      <c r="I34" s="111"/>
      <c r="J34" s="112">
        <f t="shared" ref="J34:J43" si="0">E34-G34</f>
        <v>13939.4905660377</v>
      </c>
      <c r="K34" s="113"/>
      <c r="L34" s="114">
        <f>J34</f>
        <v>13939.4905660377</v>
      </c>
      <c r="M34" s="112">
        <f>J34/(1+D33)^1</f>
        <v>13212.7872663865</v>
      </c>
      <c r="N34" s="113"/>
      <c r="O34" s="115">
        <f>J34/(1+D33)^1</f>
        <v>13212.7872663865</v>
      </c>
      <c r="P34" s="116"/>
      <c r="Q34" s="107"/>
      <c r="R34" s="75"/>
      <c r="S34" s="75" t="e">
        <f>IF(O34&lt;=0,100,O34/(#REF!-O34))</f>
        <v>#REF!</v>
      </c>
      <c r="T34" s="75" t="str">
        <f>IF(O34&gt;=0,"T","F")</f>
        <v>T</v>
      </c>
      <c r="U34" s="75" t="e">
        <f>IF(L34&lt;=0,100,L34/(#REF!-L34))</f>
        <v>#REF!</v>
      </c>
      <c r="V34" s="75" t="str">
        <f>IF(L34&gt;=0,"T","F")</f>
        <v>T</v>
      </c>
    </row>
    <row r="35" ht="21" customHeight="1" spans="1:24">
      <c r="A35" s="117"/>
      <c r="B35" s="118"/>
      <c r="C35" s="30" t="s">
        <v>170</v>
      </c>
      <c r="D35" s="30" t="s">
        <v>168</v>
      </c>
      <c r="E35" s="41"/>
      <c r="F35" s="30" t="s">
        <v>169</v>
      </c>
      <c r="G35" s="109"/>
      <c r="H35" s="110"/>
      <c r="I35" s="111"/>
      <c r="J35" s="112">
        <f t="shared" si="0"/>
        <v>0</v>
      </c>
      <c r="K35" s="113"/>
      <c r="L35" s="114">
        <f t="shared" ref="L35:L43" si="1">L34+J35</f>
        <v>13939.4905660377</v>
      </c>
      <c r="M35" s="112">
        <f>J35/(1+D33)^2</f>
        <v>0</v>
      </c>
      <c r="N35" s="113"/>
      <c r="O35" s="119">
        <f>O34+J35/(1+D33)^2</f>
        <v>13212.7872663865</v>
      </c>
      <c r="P35" s="120"/>
      <c r="Q35" s="75"/>
      <c r="R35" s="75"/>
      <c r="S35" s="75" t="e">
        <f>IF(O35&lt;=0,100,O35/(O34-O35))</f>
        <v>#DIV/0!</v>
      </c>
      <c r="T35" s="25" t="str">
        <f>IF(O35&gt;=0,"T","F")</f>
        <v>T</v>
      </c>
      <c r="U35" s="75" t="e">
        <f t="shared" ref="U34:U43" si="2">IF(L35&lt;=0,100,L35/(L34-L35))</f>
        <v>#DIV/0!</v>
      </c>
      <c r="V35" s="25" t="str">
        <f t="shared" ref="V35:V42" si="3">IF(L34&lt;0,IF(L35&gt;=0,"T","F"),"F")</f>
        <v>F</v>
      </c>
      <c r="W35" s="23"/>
    </row>
    <row r="36" ht="21" customHeight="1" spans="1:24">
      <c r="A36" s="117"/>
      <c r="B36" s="118"/>
      <c r="C36" s="30" t="s">
        <v>171</v>
      </c>
      <c r="D36" s="30" t="s">
        <v>168</v>
      </c>
      <c r="E36" s="41"/>
      <c r="F36" s="30" t="s">
        <v>169</v>
      </c>
      <c r="G36" s="109"/>
      <c r="H36" s="110"/>
      <c r="I36" s="111"/>
      <c r="J36" s="112">
        <f t="shared" si="0"/>
        <v>0</v>
      </c>
      <c r="K36" s="113"/>
      <c r="L36" s="114">
        <f t="shared" si="1"/>
        <v>13939.4905660377</v>
      </c>
      <c r="M36" s="112">
        <f>J36/(1+D33)^3</f>
        <v>0</v>
      </c>
      <c r="N36" s="113"/>
      <c r="O36" s="119">
        <f>O35+J36/(1+D33)^3</f>
        <v>13212.7872663865</v>
      </c>
      <c r="P36" s="120"/>
      <c r="Q36" s="75"/>
      <c r="R36" s="75"/>
      <c r="S36" s="75" t="e">
        <f t="shared" ref="S36:S43" si="4">IF(O36&lt;=0,100,O36/(O35-O36))</f>
        <v>#DIV/0!</v>
      </c>
      <c r="T36" s="25" t="str">
        <f t="shared" ref="T36:T43" si="5">IF(O35&lt;0,IF(O36&gt;=0,"T","F"),"F")</f>
        <v>F</v>
      </c>
      <c r="U36" s="75" t="e">
        <f t="shared" si="2"/>
        <v>#DIV/0!</v>
      </c>
      <c r="V36" s="25" t="str">
        <f t="shared" si="3"/>
        <v>F</v>
      </c>
      <c r="W36" s="23"/>
    </row>
    <row r="37" ht="21" customHeight="1" spans="1:24">
      <c r="A37" s="117"/>
      <c r="B37" s="118"/>
      <c r="C37" s="30" t="s">
        <v>172</v>
      </c>
      <c r="D37" s="30" t="s">
        <v>168</v>
      </c>
      <c r="E37" s="121"/>
      <c r="F37" s="30" t="s">
        <v>169</v>
      </c>
      <c r="G37" s="122"/>
      <c r="H37" s="123"/>
      <c r="I37" s="124"/>
      <c r="J37" s="112">
        <f t="shared" si="0"/>
        <v>0</v>
      </c>
      <c r="K37" s="113"/>
      <c r="L37" s="114">
        <f t="shared" si="1"/>
        <v>13939.4905660377</v>
      </c>
      <c r="M37" s="112">
        <f>J37/(1+D33)^4</f>
        <v>0</v>
      </c>
      <c r="N37" s="113"/>
      <c r="O37" s="119">
        <f>O36+J37/(1+D33)^4</f>
        <v>13212.7872663865</v>
      </c>
      <c r="P37" s="120"/>
      <c r="Q37" s="75"/>
      <c r="R37" s="75"/>
      <c r="S37" s="75" t="e">
        <f t="shared" si="4"/>
        <v>#DIV/0!</v>
      </c>
      <c r="T37" s="25" t="str">
        <f t="shared" si="5"/>
        <v>F</v>
      </c>
      <c r="U37" s="75" t="e">
        <f t="shared" si="2"/>
        <v>#DIV/0!</v>
      </c>
      <c r="V37" s="25" t="str">
        <f t="shared" si="3"/>
        <v>F</v>
      </c>
      <c r="W37" s="23"/>
    </row>
    <row r="38" ht="21" customHeight="1" spans="1:24">
      <c r="A38" s="117"/>
      <c r="B38" s="118"/>
      <c r="C38" s="30" t="s">
        <v>173</v>
      </c>
      <c r="D38" s="30" t="s">
        <v>168</v>
      </c>
      <c r="E38" s="121"/>
      <c r="F38" s="30" t="s">
        <v>169</v>
      </c>
      <c r="G38" s="122"/>
      <c r="H38" s="123"/>
      <c r="I38" s="124"/>
      <c r="J38" s="112">
        <f t="shared" si="0"/>
        <v>0</v>
      </c>
      <c r="K38" s="113"/>
      <c r="L38" s="114">
        <f t="shared" si="1"/>
        <v>13939.4905660377</v>
      </c>
      <c r="M38" s="112">
        <f>J38/(1+D33)^5</f>
        <v>0</v>
      </c>
      <c r="N38" s="113"/>
      <c r="O38" s="119">
        <f>O37+J38/(1+D33)^5</f>
        <v>13212.7872663865</v>
      </c>
      <c r="P38" s="120"/>
      <c r="Q38" s="75"/>
      <c r="R38" s="75"/>
      <c r="S38" s="75" t="e">
        <f t="shared" si="4"/>
        <v>#DIV/0!</v>
      </c>
      <c r="T38" s="25" t="str">
        <f t="shared" si="5"/>
        <v>F</v>
      </c>
      <c r="U38" s="75" t="e">
        <f t="shared" si="2"/>
        <v>#DIV/0!</v>
      </c>
      <c r="V38" s="25" t="str">
        <f t="shared" si="3"/>
        <v>F</v>
      </c>
      <c r="W38" s="23"/>
    </row>
    <row r="39" ht="21" customHeight="1" spans="1:24">
      <c r="A39" s="117"/>
      <c r="B39" s="118"/>
      <c r="C39" s="30" t="s">
        <v>174</v>
      </c>
      <c r="D39" s="30" t="s">
        <v>168</v>
      </c>
      <c r="E39" s="121"/>
      <c r="F39" s="30" t="s">
        <v>169</v>
      </c>
      <c r="G39" s="122"/>
      <c r="H39" s="123"/>
      <c r="I39" s="124"/>
      <c r="J39" s="112">
        <f t="shared" si="0"/>
        <v>0</v>
      </c>
      <c r="K39" s="113"/>
      <c r="L39" s="114">
        <f t="shared" si="1"/>
        <v>13939.4905660377</v>
      </c>
      <c r="M39" s="112">
        <f>J39/(1+D33)^6</f>
        <v>0</v>
      </c>
      <c r="N39" s="113"/>
      <c r="O39" s="119">
        <f>O38+J39/(1+D33)^6</f>
        <v>13212.7872663865</v>
      </c>
      <c r="P39" s="120"/>
      <c r="Q39" s="75"/>
      <c r="R39" s="75"/>
      <c r="S39" s="75" t="e">
        <f t="shared" si="4"/>
        <v>#DIV/0!</v>
      </c>
      <c r="T39" s="25" t="str">
        <f t="shared" si="5"/>
        <v>F</v>
      </c>
      <c r="U39" s="75" t="e">
        <f t="shared" si="2"/>
        <v>#DIV/0!</v>
      </c>
      <c r="V39" s="25" t="str">
        <f t="shared" si="3"/>
        <v>F</v>
      </c>
      <c r="W39" s="23"/>
    </row>
    <row r="40" ht="21" customHeight="1" spans="1:24">
      <c r="A40" s="117"/>
      <c r="B40" s="118"/>
      <c r="C40" s="30" t="s">
        <v>175</v>
      </c>
      <c r="D40" s="30" t="s">
        <v>168</v>
      </c>
      <c r="E40" s="121"/>
      <c r="F40" s="30" t="s">
        <v>169</v>
      </c>
      <c r="G40" s="122"/>
      <c r="H40" s="123"/>
      <c r="I40" s="124"/>
      <c r="J40" s="112">
        <f t="shared" si="0"/>
        <v>0</v>
      </c>
      <c r="K40" s="113"/>
      <c r="L40" s="114">
        <f t="shared" si="1"/>
        <v>13939.4905660377</v>
      </c>
      <c r="M40" s="112">
        <f>J40/(1+D33)^7</f>
        <v>0</v>
      </c>
      <c r="N40" s="113"/>
      <c r="O40" s="119">
        <f>O39+J40/(1+D33)^7</f>
        <v>13212.7872663865</v>
      </c>
      <c r="P40" s="120"/>
      <c r="Q40" s="75"/>
      <c r="R40" s="75"/>
      <c r="S40" s="75" t="e">
        <f t="shared" si="4"/>
        <v>#DIV/0!</v>
      </c>
      <c r="T40" s="25" t="str">
        <f t="shared" si="5"/>
        <v>F</v>
      </c>
      <c r="U40" s="75" t="e">
        <f t="shared" si="2"/>
        <v>#DIV/0!</v>
      </c>
      <c r="V40" s="25" t="str">
        <f t="shared" si="3"/>
        <v>F</v>
      </c>
      <c r="W40" s="23"/>
    </row>
    <row r="41" ht="21" customHeight="1" spans="1:24">
      <c r="A41" s="117"/>
      <c r="B41" s="118"/>
      <c r="C41" s="30" t="s">
        <v>176</v>
      </c>
      <c r="D41" s="30" t="s">
        <v>168</v>
      </c>
      <c r="E41" s="121"/>
      <c r="F41" s="30" t="s">
        <v>169</v>
      </c>
      <c r="G41" s="122"/>
      <c r="H41" s="123"/>
      <c r="I41" s="124"/>
      <c r="J41" s="112">
        <f t="shared" si="0"/>
        <v>0</v>
      </c>
      <c r="K41" s="113"/>
      <c r="L41" s="114">
        <f t="shared" si="1"/>
        <v>13939.4905660377</v>
      </c>
      <c r="M41" s="112">
        <f>J41/(1+D33)^8</f>
        <v>0</v>
      </c>
      <c r="N41" s="113"/>
      <c r="O41" s="119">
        <f>O40+J41/(1+D33)^8</f>
        <v>13212.7872663865</v>
      </c>
      <c r="P41" s="120"/>
      <c r="Q41" s="75"/>
      <c r="R41" s="75"/>
      <c r="S41" s="75" t="e">
        <f t="shared" si="4"/>
        <v>#DIV/0!</v>
      </c>
      <c r="T41" s="25" t="str">
        <f t="shared" si="5"/>
        <v>F</v>
      </c>
      <c r="U41" s="75" t="e">
        <f t="shared" si="2"/>
        <v>#DIV/0!</v>
      </c>
      <c r="V41" s="25" t="str">
        <f t="shared" si="3"/>
        <v>F</v>
      </c>
      <c r="W41" s="23"/>
    </row>
    <row r="42" ht="21" customHeight="1" spans="1:24">
      <c r="A42" s="117"/>
      <c r="B42" s="118"/>
      <c r="C42" s="30" t="s">
        <v>177</v>
      </c>
      <c r="D42" s="30" t="s">
        <v>168</v>
      </c>
      <c r="E42" s="121"/>
      <c r="F42" s="30" t="s">
        <v>169</v>
      </c>
      <c r="G42" s="122"/>
      <c r="H42" s="123"/>
      <c r="I42" s="124"/>
      <c r="J42" s="112">
        <f t="shared" si="0"/>
        <v>0</v>
      </c>
      <c r="K42" s="113"/>
      <c r="L42" s="114">
        <f t="shared" si="1"/>
        <v>13939.4905660377</v>
      </c>
      <c r="M42" s="112">
        <f>J42/(1+D33)^9</f>
        <v>0</v>
      </c>
      <c r="N42" s="113"/>
      <c r="O42" s="119">
        <f>O41+J42/(1+D33)^9</f>
        <v>13212.7872663865</v>
      </c>
      <c r="P42" s="120"/>
      <c r="Q42" s="75"/>
      <c r="R42" s="75"/>
      <c r="S42" s="75" t="e">
        <f t="shared" si="4"/>
        <v>#DIV/0!</v>
      </c>
      <c r="T42" s="25" t="str">
        <f t="shared" si="5"/>
        <v>F</v>
      </c>
      <c r="U42" s="75" t="e">
        <f t="shared" si="2"/>
        <v>#DIV/0!</v>
      </c>
      <c r="V42" s="25" t="str">
        <f t="shared" si="3"/>
        <v>F</v>
      </c>
      <c r="W42" s="23"/>
    </row>
    <row r="43" ht="21" customHeight="1" spans="1:24">
      <c r="A43" s="117"/>
      <c r="B43" s="118"/>
      <c r="C43" s="30" t="s">
        <v>178</v>
      </c>
      <c r="D43" s="30" t="s">
        <v>168</v>
      </c>
      <c r="E43" s="121"/>
      <c r="F43" s="30" t="s">
        <v>169</v>
      </c>
      <c r="G43" s="122"/>
      <c r="H43" s="123"/>
      <c r="I43" s="124"/>
      <c r="J43" s="112">
        <f t="shared" si="0"/>
        <v>0</v>
      </c>
      <c r="K43" s="113"/>
      <c r="L43" s="114">
        <f t="shared" si="1"/>
        <v>13939.4905660377</v>
      </c>
      <c r="M43" s="112">
        <f>J43/(1+D33)^10</f>
        <v>0</v>
      </c>
      <c r="N43" s="113"/>
      <c r="O43" s="119">
        <f>O42+J43/(1+D33)^10</f>
        <v>13212.7872663865</v>
      </c>
      <c r="P43" s="120"/>
      <c r="Q43" s="75"/>
      <c r="R43" s="75"/>
      <c r="S43" s="75" t="e">
        <f t="shared" si="4"/>
        <v>#DIV/0!</v>
      </c>
      <c r="T43" s="25" t="str">
        <f t="shared" si="5"/>
        <v>F</v>
      </c>
      <c r="U43" s="75" t="e">
        <f t="shared" si="2"/>
        <v>#DIV/0!</v>
      </c>
      <c r="V43" s="125" t="str">
        <f>IF(O42&lt;0,IF(O43&gt;=0,"T","F"),"F")</f>
        <v>F</v>
      </c>
      <c r="W43" s="23"/>
    </row>
    <row r="44" ht="21" customHeight="1" spans="1:24">
      <c r="A44" s="97"/>
      <c r="B44" s="126"/>
      <c r="C44" s="30" t="s">
        <v>179</v>
      </c>
      <c r="D44" s="30" t="s">
        <v>168</v>
      </c>
      <c r="E44" s="127">
        <f>NPV(D33,E34,E35,E36,E37,E38,E39,E40,E41,E42,E43)</f>
        <v>162825.717607082</v>
      </c>
      <c r="F44" s="30" t="s">
        <v>180</v>
      </c>
      <c r="G44" s="119">
        <f>NPV(D33,G34:I43)</f>
        <v>149612.930340696</v>
      </c>
      <c r="H44" s="128"/>
      <c r="I44" s="120"/>
      <c r="J44" s="119"/>
      <c r="K44" s="120"/>
      <c r="L44" s="128"/>
      <c r="M44" s="119"/>
      <c r="N44" s="120"/>
      <c r="O44" s="127"/>
      <c r="P44" s="127"/>
      <c r="Q44" s="75"/>
      <c r="R44" s="75"/>
      <c r="S44" s="75"/>
      <c r="T44" s="25"/>
      <c r="U44" s="75"/>
      <c r="V44" s="25"/>
      <c r="W44" s="129"/>
      <c r="X44" s="130"/>
    </row>
    <row r="45" ht="21" customHeight="1" spans="1:24">
      <c r="A45" s="131" t="s">
        <v>181</v>
      </c>
      <c r="B45" s="132"/>
      <c r="C45" s="133">
        <f>NPV(D33,J34:K43)</f>
        <v>13212.7872663865</v>
      </c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5"/>
      <c r="Q45" s="136"/>
      <c r="R45" s="75"/>
      <c r="S45" s="75" t="e">
        <f>INDEX(S34:T43,T45,1)</f>
        <v>#REF!</v>
      </c>
      <c r="T45" s="75">
        <f>MATCH("T",T34:T43,0)</f>
        <v>1</v>
      </c>
      <c r="U45" s="75" t="e">
        <f>INDEX(U34:V43,V45,1)</f>
        <v>#REF!</v>
      </c>
      <c r="V45" s="75">
        <f>MATCH("T",V34:V43,0)</f>
        <v>1</v>
      </c>
      <c r="W45" s="129"/>
    </row>
    <row r="46" ht="21" customHeight="1" spans="1:24">
      <c r="A46" s="137" t="s">
        <v>182</v>
      </c>
      <c r="B46" s="138"/>
      <c r="C46" s="139">
        <f>IF(T45=1,1,IF(S45=1,T45,T45+S45))</f>
        <v>1</v>
      </c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1"/>
      <c r="Q46" s="136"/>
      <c r="R46" s="75"/>
      <c r="S46" s="75"/>
      <c r="T46" s="75"/>
      <c r="U46" s="75"/>
      <c r="V46" s="75"/>
      <c r="W46" s="75"/>
    </row>
    <row r="47" ht="21" customHeight="1" spans="1:24">
      <c r="A47" s="137" t="s">
        <v>16</v>
      </c>
      <c r="B47" s="138"/>
      <c r="C47" s="142">
        <f>C45/G44</f>
        <v>0.0883131373491488</v>
      </c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4"/>
      <c r="Q47" s="136"/>
      <c r="R47" s="75"/>
      <c r="S47" s="75"/>
      <c r="T47" s="75"/>
      <c r="U47" s="75"/>
      <c r="V47" s="75"/>
      <c r="W47" s="75"/>
    </row>
    <row r="48" ht="21" customHeight="1" spans="1:24">
      <c r="A48" s="145" t="s">
        <v>25</v>
      </c>
      <c r="B48" s="146"/>
      <c r="C48" s="147" t="e">
        <f>IRR(J34:J43)</f>
        <v>#NUM!</v>
      </c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9"/>
      <c r="Q48" s="136"/>
      <c r="R48" s="75"/>
      <c r="S48" s="75"/>
      <c r="T48" s="75"/>
      <c r="U48" s="75"/>
      <c r="V48" s="75"/>
      <c r="W48" s="75"/>
    </row>
    <row r="49" ht="21" customHeight="1" spans="1:23">
      <c r="A49" s="150" t="s">
        <v>183</v>
      </c>
      <c r="B49" s="150"/>
      <c r="C49" s="147">
        <f>(G12-G32)/G12</f>
        <v>0.0811468081367251</v>
      </c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9"/>
      <c r="P49" s="151"/>
      <c r="Q49" s="136"/>
      <c r="R49" s="75"/>
      <c r="S49" s="75"/>
      <c r="T49" s="75"/>
      <c r="U49" s="75"/>
      <c r="V49" s="75"/>
      <c r="W49" s="75"/>
    </row>
    <row r="50" ht="21.6" customHeight="1" spans="1:23">
      <c r="A50" s="150" t="s">
        <v>87</v>
      </c>
      <c r="B50" s="150"/>
      <c r="C50" s="152">
        <f>IF(V45=1,1,IF(U45=1,V45,V45+U45))</f>
        <v>1</v>
      </c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4"/>
      <c r="P50" s="75"/>
      <c r="Q50" s="75"/>
      <c r="R50" s="75"/>
      <c r="S50" s="75"/>
      <c r="T50" s="75"/>
      <c r="U50" s="75"/>
      <c r="W50" s="23"/>
    </row>
    <row r="51" ht="21.6" customHeight="1" spans="1:23">
      <c r="A51" s="155" t="s">
        <v>184</v>
      </c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7"/>
      <c r="P51" s="75"/>
      <c r="Q51" s="75"/>
      <c r="R51" s="75"/>
      <c r="S51" s="75"/>
      <c r="T51" s="75"/>
      <c r="U51" s="75"/>
      <c r="W51" s="23"/>
    </row>
    <row r="52" ht="21.6" customHeight="1" spans="1:23">
      <c r="A52" s="158"/>
      <c r="B52" s="159"/>
      <c r="C52" s="159"/>
      <c r="D52" s="160" t="s">
        <v>185</v>
      </c>
      <c r="E52" s="161">
        <f>SUM(G3:G8)</f>
        <v>171758.490566038</v>
      </c>
      <c r="F52" s="160" t="s">
        <v>186</v>
      </c>
      <c r="G52" s="162">
        <f>SUM(G13:I22)</f>
        <v>157819</v>
      </c>
      <c r="H52" s="163"/>
      <c r="I52" s="159"/>
      <c r="J52" s="164" t="s">
        <v>187</v>
      </c>
      <c r="K52" s="165"/>
      <c r="L52" s="166" t="s">
        <v>188</v>
      </c>
      <c r="M52" s="167" t="s">
        <v>189</v>
      </c>
      <c r="N52" s="168"/>
      <c r="O52" s="169" t="s">
        <v>190</v>
      </c>
      <c r="P52" s="170"/>
      <c r="Q52" s="75"/>
      <c r="R52" s="75"/>
      <c r="S52" s="75"/>
      <c r="T52" s="75"/>
      <c r="U52" s="75"/>
      <c r="W52" s="23"/>
    </row>
    <row r="53" ht="19.2" customHeight="1" spans="1:23">
      <c r="A53" s="105" t="s">
        <v>191</v>
      </c>
      <c r="B53" s="106"/>
      <c r="C53" s="30" t="s">
        <v>167</v>
      </c>
      <c r="D53" s="54" t="s">
        <v>192</v>
      </c>
      <c r="E53" s="171">
        <f>G3</f>
        <v>171758.490566038</v>
      </c>
      <c r="F53" s="30" t="s">
        <v>193</v>
      </c>
      <c r="G53" s="172">
        <f>G16</f>
        <v>157819</v>
      </c>
      <c r="H53" s="173"/>
      <c r="I53" s="173"/>
      <c r="J53" s="112">
        <f t="shared" ref="J53:J62" si="6">E53-G53</f>
        <v>13939.4905660377</v>
      </c>
      <c r="K53" s="113"/>
      <c r="L53" s="114">
        <f>J53</f>
        <v>13939.4905660377</v>
      </c>
      <c r="M53" s="112">
        <f>J53/(1+D33)^1</f>
        <v>13212.7872663865</v>
      </c>
      <c r="N53" s="113"/>
      <c r="O53" s="115">
        <f>J53/(1+D33)^1</f>
        <v>13212.7872663865</v>
      </c>
      <c r="P53" s="116"/>
      <c r="U53" s="24"/>
      <c r="W53" s="23"/>
    </row>
    <row r="54" ht="19.2" customHeight="1" spans="1:23">
      <c r="A54" s="117"/>
      <c r="B54" s="118"/>
      <c r="C54" s="30" t="s">
        <v>170</v>
      </c>
      <c r="D54" s="30" t="s">
        <v>192</v>
      </c>
      <c r="E54" s="121"/>
      <c r="F54" s="30" t="s">
        <v>193</v>
      </c>
      <c r="G54" s="122"/>
      <c r="H54" s="123"/>
      <c r="I54" s="124"/>
      <c r="J54" s="112">
        <f t="shared" si="6"/>
        <v>0</v>
      </c>
      <c r="K54" s="113"/>
      <c r="L54" s="114">
        <f t="shared" ref="L54:L62" si="7">L53+J54</f>
        <v>13939.4905660377</v>
      </c>
      <c r="M54" s="112">
        <f>J54/(1+D33)^2</f>
        <v>0</v>
      </c>
      <c r="N54" s="113"/>
      <c r="O54" s="119">
        <f>O53+J54/(1+D33)^2</f>
        <v>13212.7872663865</v>
      </c>
      <c r="P54" s="120"/>
      <c r="U54" s="24"/>
      <c r="W54" s="23"/>
    </row>
    <row r="55" ht="18.25" spans="1:23">
      <c r="A55" s="117"/>
      <c r="B55" s="118"/>
      <c r="C55" s="30" t="s">
        <v>171</v>
      </c>
      <c r="D55" s="30" t="s">
        <v>192</v>
      </c>
      <c r="E55" s="174"/>
      <c r="F55" s="30" t="s">
        <v>193</v>
      </c>
      <c r="G55" s="122"/>
      <c r="H55" s="123"/>
      <c r="I55" s="124"/>
      <c r="J55" s="112">
        <f t="shared" si="6"/>
        <v>0</v>
      </c>
      <c r="K55" s="113"/>
      <c r="L55" s="114">
        <f t="shared" si="7"/>
        <v>13939.4905660377</v>
      </c>
      <c r="M55" s="112">
        <f>J55/(1+D33)^3</f>
        <v>0</v>
      </c>
      <c r="N55" s="113"/>
      <c r="O55" s="119">
        <f>O54+J55/(1+D33)^3</f>
        <v>13212.7872663865</v>
      </c>
      <c r="P55" s="120"/>
    </row>
    <row r="56" ht="18.25" spans="1:23">
      <c r="A56" s="117"/>
      <c r="B56" s="118"/>
      <c r="C56" s="30" t="s">
        <v>172</v>
      </c>
      <c r="D56" s="30" t="s">
        <v>192</v>
      </c>
      <c r="E56" s="121"/>
      <c r="F56" s="30" t="s">
        <v>193</v>
      </c>
      <c r="G56" s="122"/>
      <c r="H56" s="123"/>
      <c r="I56" s="124"/>
      <c r="J56" s="112">
        <f t="shared" si="6"/>
        <v>0</v>
      </c>
      <c r="K56" s="113"/>
      <c r="L56" s="114">
        <f t="shared" si="7"/>
        <v>13939.4905660377</v>
      </c>
      <c r="M56" s="112">
        <f>J56/(1+D33)^4</f>
        <v>0</v>
      </c>
      <c r="N56" s="113"/>
      <c r="O56" s="119">
        <f>O55+J56/(1+D33)^4</f>
        <v>13212.7872663865</v>
      </c>
      <c r="P56" s="120"/>
    </row>
    <row r="57" ht="18.25" spans="1:23">
      <c r="A57" s="117"/>
      <c r="B57" s="118"/>
      <c r="C57" s="30" t="s">
        <v>173</v>
      </c>
      <c r="D57" s="30" t="s">
        <v>192</v>
      </c>
      <c r="E57" s="121"/>
      <c r="F57" s="30" t="s">
        <v>193</v>
      </c>
      <c r="G57" s="122"/>
      <c r="H57" s="123"/>
      <c r="I57" s="124"/>
      <c r="J57" s="112">
        <f t="shared" si="6"/>
        <v>0</v>
      </c>
      <c r="K57" s="113"/>
      <c r="L57" s="114">
        <f t="shared" si="7"/>
        <v>13939.4905660377</v>
      </c>
      <c r="M57" s="112">
        <f>J57/(1+D33)^5</f>
        <v>0</v>
      </c>
      <c r="N57" s="113"/>
      <c r="O57" s="119">
        <f>O56+J57/(1+D33)^5</f>
        <v>13212.7872663865</v>
      </c>
      <c r="P57" s="120"/>
    </row>
    <row r="58" ht="18.25" spans="1:23">
      <c r="A58" s="117"/>
      <c r="B58" s="118"/>
      <c r="C58" s="30" t="s">
        <v>174</v>
      </c>
      <c r="D58" s="30" t="s">
        <v>192</v>
      </c>
      <c r="E58" s="121"/>
      <c r="F58" s="30" t="s">
        <v>193</v>
      </c>
      <c r="G58" s="122"/>
      <c r="H58" s="123"/>
      <c r="I58" s="124"/>
      <c r="J58" s="112">
        <f t="shared" si="6"/>
        <v>0</v>
      </c>
      <c r="K58" s="113"/>
      <c r="L58" s="114">
        <f t="shared" si="7"/>
        <v>13939.4905660377</v>
      </c>
      <c r="M58" s="112">
        <f>J58/(1+D33)^6</f>
        <v>0</v>
      </c>
      <c r="N58" s="113"/>
      <c r="O58" s="119">
        <f>O57+J58/(1+D33)^6</f>
        <v>13212.7872663865</v>
      </c>
      <c r="P58" s="120"/>
    </row>
    <row r="59" ht="18.25" spans="1:23">
      <c r="A59" s="117"/>
      <c r="B59" s="118"/>
      <c r="C59" s="30" t="s">
        <v>175</v>
      </c>
      <c r="D59" s="30" t="s">
        <v>192</v>
      </c>
      <c r="E59" s="121"/>
      <c r="F59" s="30" t="s">
        <v>193</v>
      </c>
      <c r="G59" s="122"/>
      <c r="H59" s="123"/>
      <c r="I59" s="124"/>
      <c r="J59" s="112">
        <f t="shared" si="6"/>
        <v>0</v>
      </c>
      <c r="K59" s="113"/>
      <c r="L59" s="114">
        <f t="shared" si="7"/>
        <v>13939.4905660377</v>
      </c>
      <c r="M59" s="112">
        <f>J59/(1+D33)^7</f>
        <v>0</v>
      </c>
      <c r="N59" s="113"/>
      <c r="O59" s="119">
        <f>O58+J59/(1+D33)^7</f>
        <v>13212.7872663865</v>
      </c>
      <c r="P59" s="120"/>
    </row>
    <row r="60" ht="18.25" spans="1:23">
      <c r="A60" s="117"/>
      <c r="B60" s="118"/>
      <c r="C60" s="30" t="s">
        <v>176</v>
      </c>
      <c r="D60" s="30" t="s">
        <v>192</v>
      </c>
      <c r="E60" s="121"/>
      <c r="F60" s="30" t="s">
        <v>193</v>
      </c>
      <c r="G60" s="122"/>
      <c r="H60" s="123"/>
      <c r="I60" s="124"/>
      <c r="J60" s="112">
        <f t="shared" si="6"/>
        <v>0</v>
      </c>
      <c r="K60" s="113"/>
      <c r="L60" s="114">
        <f t="shared" si="7"/>
        <v>13939.4905660377</v>
      </c>
      <c r="M60" s="112">
        <f>J60/(1+D33)^8</f>
        <v>0</v>
      </c>
      <c r="N60" s="113"/>
      <c r="O60" s="119">
        <f>O59+J60/(1+D33)^8</f>
        <v>13212.7872663865</v>
      </c>
      <c r="P60" s="120"/>
    </row>
    <row r="61" ht="18.25" spans="1:23">
      <c r="A61" s="117"/>
      <c r="B61" s="118"/>
      <c r="C61" s="30" t="s">
        <v>177</v>
      </c>
      <c r="D61" s="30" t="s">
        <v>192</v>
      </c>
      <c r="E61" s="121"/>
      <c r="F61" s="30" t="s">
        <v>193</v>
      </c>
      <c r="G61" s="122"/>
      <c r="H61" s="123"/>
      <c r="I61" s="124"/>
      <c r="J61" s="112">
        <f t="shared" si="6"/>
        <v>0</v>
      </c>
      <c r="K61" s="113"/>
      <c r="L61" s="114">
        <f t="shared" si="7"/>
        <v>13939.4905660377</v>
      </c>
      <c r="M61" s="112">
        <f>J61/(1+D33)^9</f>
        <v>0</v>
      </c>
      <c r="N61" s="113"/>
      <c r="O61" s="119">
        <f>O60+J61/(1+D33)^9</f>
        <v>13212.7872663865</v>
      </c>
      <c r="P61" s="120"/>
    </row>
    <row r="62" ht="18.25" spans="1:23">
      <c r="A62" s="117"/>
      <c r="B62" s="118"/>
      <c r="C62" s="30" t="s">
        <v>178</v>
      </c>
      <c r="D62" s="30" t="s">
        <v>192</v>
      </c>
      <c r="E62" s="121"/>
      <c r="F62" s="30" t="s">
        <v>193</v>
      </c>
      <c r="G62" s="122"/>
      <c r="H62" s="123"/>
      <c r="I62" s="124"/>
      <c r="J62" s="112">
        <f t="shared" si="6"/>
        <v>0</v>
      </c>
      <c r="K62" s="113"/>
      <c r="L62" s="114">
        <f t="shared" si="7"/>
        <v>13939.4905660377</v>
      </c>
      <c r="M62" s="112">
        <f>J62/(1+D33)^10</f>
        <v>0</v>
      </c>
      <c r="N62" s="113"/>
      <c r="O62" s="119">
        <f>O61+J62/(1+D33)^10</f>
        <v>13212.7872663865</v>
      </c>
      <c r="P62" s="120"/>
      <c r="W62" s="23"/>
    </row>
    <row r="63" ht="18.25" spans="1:23">
      <c r="A63" s="97"/>
      <c r="B63" s="126"/>
      <c r="C63" s="30" t="s">
        <v>179</v>
      </c>
      <c r="D63" s="30" t="s">
        <v>168</v>
      </c>
      <c r="E63" s="127">
        <f>NPV(D33,E53:E62)</f>
        <v>162804.256460699</v>
      </c>
      <c r="F63" s="30" t="s">
        <v>194</v>
      </c>
      <c r="G63" s="119">
        <f>NPV(D33,G53:I62)</f>
        <v>149591.469194313</v>
      </c>
      <c r="H63" s="128"/>
      <c r="I63" s="120"/>
      <c r="J63" s="119"/>
      <c r="K63" s="120"/>
      <c r="L63" s="128"/>
      <c r="M63" s="119"/>
      <c r="N63" s="120"/>
      <c r="O63" s="127"/>
      <c r="P63" s="127"/>
      <c r="W63" s="23"/>
    </row>
    <row r="64" ht="18.25" spans="1:23">
      <c r="A64" s="175" t="s">
        <v>195</v>
      </c>
      <c r="B64" s="176"/>
      <c r="C64" s="133">
        <f>NPV(D33,J53:K62)</f>
        <v>13212.7872663865</v>
      </c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5"/>
      <c r="P64" s="177"/>
      <c r="W64" s="23"/>
    </row>
    <row r="65" ht="18.25" spans="1:15">
      <c r="A65" s="175" t="s">
        <v>29</v>
      </c>
      <c r="B65" s="176"/>
      <c r="C65" s="147">
        <f>C64/G63</f>
        <v>0.0883258071970912</v>
      </c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9"/>
    </row>
    <row r="66" ht="18.25" spans="1:15">
      <c r="A66" s="175" t="s">
        <v>88</v>
      </c>
      <c r="B66" s="176"/>
      <c r="C66" s="178">
        <f>(E52-G52)/E52</f>
        <v>0.0811575050531681</v>
      </c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80"/>
    </row>
    <row r="68" spans="1:15">
      <c r="B68" s="181" t="s">
        <v>196</v>
      </c>
      <c r="C68" s="182"/>
      <c r="D68" s="182"/>
      <c r="E68" s="182"/>
      <c r="F68" s="182"/>
      <c r="G68" s="182"/>
      <c r="H68" s="182"/>
    </row>
    <row r="69" spans="1:15">
      <c r="B69" s="182" t="s">
        <v>197</v>
      </c>
      <c r="C69" s="182"/>
      <c r="D69" s="182"/>
      <c r="E69" s="182"/>
      <c r="F69" s="182"/>
      <c r="G69" s="182"/>
      <c r="H69" s="182"/>
    </row>
    <row r="70" spans="1:15">
      <c r="B70" s="23" t="s">
        <v>198</v>
      </c>
    </row>
    <row r="71" spans="1:15">
      <c r="B71" s="23" t="s">
        <v>199</v>
      </c>
    </row>
    <row r="72" spans="1:15">
      <c r="B72" s="23" t="s">
        <v>200</v>
      </c>
      <c r="E72" s="130"/>
    </row>
    <row r="73" spans="1:15">
      <c r="B73" s="183" t="s">
        <v>201</v>
      </c>
    </row>
  </sheetData>
  <protectedRanges>
    <protectedRange sqref="D33 I3:N32 O2 D2 G11:G12 G18:G19 G29:G32" name="区域2_2"/>
    <protectedRange sqref="G55:G62 G37:G43" name="区域1_2"/>
    <protectedRange sqref="G15:G16 G13" name="区域2_3"/>
    <protectedRange sqref="G3:G10" name="区域2_2_1"/>
    <protectedRange sqref="G23:G27" name="区域2_2_2"/>
  </protectedRanges>
  <mergeCells count="196">
    <mergeCell ref="B1:P1"/>
    <mergeCell ref="A2:B2"/>
    <mergeCell ref="D2:F2"/>
    <mergeCell ref="H2:P2"/>
    <mergeCell ref="D3:F3"/>
    <mergeCell ref="I3:P3"/>
    <mergeCell ref="D4:F4"/>
    <mergeCell ref="I4:P4"/>
    <mergeCell ref="D5:F5"/>
    <mergeCell ref="I5:P5"/>
    <mergeCell ref="D6:F6"/>
    <mergeCell ref="J6:O6"/>
    <mergeCell ref="D7:F7"/>
    <mergeCell ref="J7:O7"/>
    <mergeCell ref="D8:F8"/>
    <mergeCell ref="I8:P8"/>
    <mergeCell ref="D9:F9"/>
    <mergeCell ref="I9:P9"/>
    <mergeCell ref="D10:F10"/>
    <mergeCell ref="I10:P10"/>
    <mergeCell ref="D11:F11"/>
    <mergeCell ref="I11:P11"/>
    <mergeCell ref="D12:F12"/>
    <mergeCell ref="J12:O12"/>
    <mergeCell ref="E13:F13"/>
    <mergeCell ref="I13:P13"/>
    <mergeCell ref="E14:F14"/>
    <mergeCell ref="I14:P14"/>
    <mergeCell ref="E15:F15"/>
    <mergeCell ref="I15:P15"/>
    <mergeCell ref="E16:F16"/>
    <mergeCell ref="J16:O16"/>
    <mergeCell ref="E17:F17"/>
    <mergeCell ref="J17:O17"/>
    <mergeCell ref="E18:F18"/>
    <mergeCell ref="I18:P18"/>
    <mergeCell ref="E19:F19"/>
    <mergeCell ref="I19:P19"/>
    <mergeCell ref="E20:F20"/>
    <mergeCell ref="I20:P20"/>
    <mergeCell ref="E21:F21"/>
    <mergeCell ref="I21:P21"/>
    <mergeCell ref="E22:F22"/>
    <mergeCell ref="I22:P22"/>
    <mergeCell ref="E23:F23"/>
    <mergeCell ref="I23:P23"/>
    <mergeCell ref="E24:F24"/>
    <mergeCell ref="I24:P24"/>
    <mergeCell ref="E25:F25"/>
    <mergeCell ref="J25:O25"/>
    <mergeCell ref="E26:F26"/>
    <mergeCell ref="I26:P26"/>
    <mergeCell ref="E27:F27"/>
    <mergeCell ref="I27:P27"/>
    <mergeCell ref="E28:F28"/>
    <mergeCell ref="I28:P28"/>
    <mergeCell ref="D29:F29"/>
    <mergeCell ref="I29:P29"/>
    <mergeCell ref="D30:F30"/>
    <mergeCell ref="I30:P30"/>
    <mergeCell ref="D31:F31"/>
    <mergeCell ref="J31:O31"/>
    <mergeCell ref="D32:F32"/>
    <mergeCell ref="J32:O32"/>
    <mergeCell ref="A33:B33"/>
    <mergeCell ref="D33:H33"/>
    <mergeCell ref="J33:K33"/>
    <mergeCell ref="M33:N33"/>
    <mergeCell ref="O33:P33"/>
    <mergeCell ref="G34:I34"/>
    <mergeCell ref="J34:K34"/>
    <mergeCell ref="M34:N34"/>
    <mergeCell ref="O34:P34"/>
    <mergeCell ref="G35:H35"/>
    <mergeCell ref="J35:K35"/>
    <mergeCell ref="M35:N35"/>
    <mergeCell ref="O35:P35"/>
    <mergeCell ref="G36:H36"/>
    <mergeCell ref="J36:K36"/>
    <mergeCell ref="M36:N36"/>
    <mergeCell ref="O36:P36"/>
    <mergeCell ref="G37:I37"/>
    <mergeCell ref="J37:K37"/>
    <mergeCell ref="M37:N37"/>
    <mergeCell ref="O37:P37"/>
    <mergeCell ref="G38:I38"/>
    <mergeCell ref="J38:K38"/>
    <mergeCell ref="M38:N38"/>
    <mergeCell ref="O38:P38"/>
    <mergeCell ref="G39:I39"/>
    <mergeCell ref="J39:K39"/>
    <mergeCell ref="M39:N39"/>
    <mergeCell ref="O39:P39"/>
    <mergeCell ref="G40:I40"/>
    <mergeCell ref="J40:K40"/>
    <mergeCell ref="M40:N40"/>
    <mergeCell ref="O40:P40"/>
    <mergeCell ref="G41:I41"/>
    <mergeCell ref="J41:K41"/>
    <mergeCell ref="M41:N41"/>
    <mergeCell ref="O41:P41"/>
    <mergeCell ref="G42:I42"/>
    <mergeCell ref="J42:K42"/>
    <mergeCell ref="M42:N42"/>
    <mergeCell ref="O42:P42"/>
    <mergeCell ref="G43:I43"/>
    <mergeCell ref="J43:K43"/>
    <mergeCell ref="M43:N43"/>
    <mergeCell ref="O43:P43"/>
    <mergeCell ref="G44:I44"/>
    <mergeCell ref="J44:K44"/>
    <mergeCell ref="M44:N44"/>
    <mergeCell ref="O44:P44"/>
    <mergeCell ref="A45:B45"/>
    <mergeCell ref="C45:P45"/>
    <mergeCell ref="A46:B46"/>
    <mergeCell ref="C46:P46"/>
    <mergeCell ref="A47:B47"/>
    <mergeCell ref="C47:P47"/>
    <mergeCell ref="A48:B48"/>
    <mergeCell ref="C48:P48"/>
    <mergeCell ref="A49:B49"/>
    <mergeCell ref="C49:O49"/>
    <mergeCell ref="A50:B50"/>
    <mergeCell ref="C50:O50"/>
    <mergeCell ref="A51:O51"/>
    <mergeCell ref="G52:H52"/>
    <mergeCell ref="J52:K52"/>
    <mergeCell ref="M52:N52"/>
    <mergeCell ref="O52:P52"/>
    <mergeCell ref="G53:I53"/>
    <mergeCell ref="J53:K53"/>
    <mergeCell ref="M53:N53"/>
    <mergeCell ref="O53:P53"/>
    <mergeCell ref="G54:I54"/>
    <mergeCell ref="J54:K54"/>
    <mergeCell ref="M54:N54"/>
    <mergeCell ref="O54:P54"/>
    <mergeCell ref="G55:I55"/>
    <mergeCell ref="J55:K55"/>
    <mergeCell ref="M55:N55"/>
    <mergeCell ref="O55:P55"/>
    <mergeCell ref="G56:I56"/>
    <mergeCell ref="J56:K56"/>
    <mergeCell ref="M56:N56"/>
    <mergeCell ref="O56:P56"/>
    <mergeCell ref="G57:I57"/>
    <mergeCell ref="J57:K57"/>
    <mergeCell ref="M57:N57"/>
    <mergeCell ref="O57:P57"/>
    <mergeCell ref="G58:I58"/>
    <mergeCell ref="J58:K58"/>
    <mergeCell ref="M58:N58"/>
    <mergeCell ref="O58:P58"/>
    <mergeCell ref="G59:I59"/>
    <mergeCell ref="J59:K59"/>
    <mergeCell ref="M59:N59"/>
    <mergeCell ref="O59:P59"/>
    <mergeCell ref="G60:I60"/>
    <mergeCell ref="J60:K60"/>
    <mergeCell ref="M60:N60"/>
    <mergeCell ref="O60:P60"/>
    <mergeCell ref="G61:I61"/>
    <mergeCell ref="J61:K61"/>
    <mergeCell ref="M61:N61"/>
    <mergeCell ref="O61:P61"/>
    <mergeCell ref="G62:I62"/>
    <mergeCell ref="J62:K62"/>
    <mergeCell ref="M62:N62"/>
    <mergeCell ref="O62:P62"/>
    <mergeCell ref="G63:I63"/>
    <mergeCell ref="J63:K63"/>
    <mergeCell ref="M63:N63"/>
    <mergeCell ref="O63:P63"/>
    <mergeCell ref="A64:B64"/>
    <mergeCell ref="C64:O64"/>
    <mergeCell ref="A65:B65"/>
    <mergeCell ref="C65:O65"/>
    <mergeCell ref="A66:B66"/>
    <mergeCell ref="C66:O66"/>
    <mergeCell ref="B68:H68"/>
    <mergeCell ref="B69:H69"/>
    <mergeCell ref="C3:C8"/>
    <mergeCell ref="C9:C10"/>
    <mergeCell ref="C13:C22"/>
    <mergeCell ref="C23:C27"/>
    <mergeCell ref="C29:C31"/>
    <mergeCell ref="D13:D17"/>
    <mergeCell ref="D18:D19"/>
    <mergeCell ref="D20:D22"/>
    <mergeCell ref="D23:D25"/>
    <mergeCell ref="D26:D27"/>
    <mergeCell ref="A3:B12"/>
    <mergeCell ref="A13:B32"/>
    <mergeCell ref="A34:B44"/>
    <mergeCell ref="A53:B63"/>
  </mergeCells>
  <dataValidations count="2">
    <dataValidation type="list" allowBlank="1" showInputMessage="1" showErrorMessage="1" sqref="JF2:JH2 TB2:TD2 ACX2:ACZ2 AMT2:AMV2 AWP2:AWR2 BGL2:BGN2 BQH2:BQJ2 CAD2:CAF2 CJZ2:CKB2 CTV2:CTX2 DDR2:DDT2 DNN2:DNP2 DXJ2:DXL2 EHF2:EHH2 ERB2:ERD2 FAX2:FAZ2 FKT2:FKV2 FUP2:FUR2 GEL2:GEN2 GOH2:GOJ2 GYD2:GYF2 HHZ2:HIB2 HRV2:HRX2 IBR2:IBT2 ILN2:ILP2 IVJ2:IVL2 JFF2:JFH2 JPB2:JPD2 JYX2:JYZ2 KIT2:KIV2 KSP2:KSR2 LCL2:LCN2 LMH2:LMJ2 LWD2:LWF2 MFZ2:MGB2 MPV2:MPX2 MZR2:MZT2 NJN2:NJP2 NTJ2:NTL2 ODF2:ODH2 ONB2:OND2 OWX2:OWZ2 PGT2:PGV2 PQP2:PQR2 QAL2:QAN2 QKH2:QKJ2 QUD2:QUF2 RDZ2:REB2 RNV2:RNX2 RXR2:RXT2 SHN2:SHP2 SRJ2:SRL2 TBF2:TBH2 TLB2:TLD2 TUX2:TUZ2 UET2:UEV2 UOP2:UOR2 UYL2:UYN2 VIH2:VIJ2 VSD2:VSF2 WBZ2:WCB2 WLV2:WLX2 WVR2:WVT2 JF65505:JH65505 TB65505:TD65505 ACX65505:ACZ65505 AMT65505:AMV65505 AWP65505:AWR65505 BGL65505:BGN65505 BQH65505:BQJ65505 CAD65505:CAF65505 CJZ65505:CKB65505 CTV65505:CTX65505 DDR65505:DDT65505 DNN65505:DNP65505 DXJ65505:DXL65505 EHF65505:EHH65505 ERB65505:ERD65505 FAX65505:FAZ65505 FKT65505:FKV65505 FUP65505:FUR65505 GEL65505:GEN65505 GOH65505:GOJ65505 GYD65505:GYF65505 HHZ65505:HIB65505 HRV65505:HRX65505 IBR65505:IBT65505 ILN65505:ILP65505 IVJ65505:IVL65505 JFF65505:JFH65505 JPB65505:JPD65505 JYX65505:JYZ65505 KIT65505:KIV65505 KSP65505:KSR65505 LCL65505:LCN65505 LMH65505:LMJ65505 LWD65505:LWF65505 MFZ65505:MGB65505 MPV65505:MPX65505 MZR65505:MZT65505 NJN65505:NJP65505 NTJ65505:NTL65505 ODF65505:ODH65505 ONB65505:OND65505 OWX65505:OWZ65505 PGT65505:PGV65505 PQP65505:PQR65505 QAL65505:QAN65505 QKH65505:QKJ65505 QUD65505:QUF65505 RDZ65505:REB65505 RNV65505:RNX65505 RXR65505:RXT65505 SHN65505:SHP65505 SRJ65505:SRL65505 TBF65505:TBH65505 TLB65505:TLD65505 TUX65505:TUZ65505 UET65505:UEV65505 UOP65505:UOR65505 UYL65505:UYN65505 VIH65505:VIJ65505 VSD65505:VSF65505 WBZ65505:WCB65505 WLV65505:WLX65505 WVR65505:WVT65505 H65516:N65516 JF131041:JH131041 TB131041:TD131041 ACX131041:ACZ131041 AMT131041:AMV131041 AWP131041:AWR131041 BGL131041:BGN131041 BQH131041:BQJ131041 CAD131041:CAF131041 CJZ131041:CKB131041 CTV131041:CTX131041 DDR131041:DDT131041 DNN131041:DNP131041 DXJ131041:DXL131041 EHF131041:EHH131041 ERB131041:ERD131041 FAX131041:FAZ131041 FKT131041:FKV131041 FUP131041:FUR131041 GEL131041:GEN131041 GOH131041:GOJ131041 GYD131041:GYF131041 HHZ131041:HIB131041 HRV131041:HRX131041 IBR131041:IBT131041 ILN131041:ILP131041 IVJ131041:IVL131041 JFF131041:JFH131041 JPB131041:JPD131041 JYX131041:JYZ131041 KIT131041:KIV131041 KSP131041:KSR131041 LCL131041:LCN131041 LMH131041:LMJ131041 LWD131041:LWF131041 MFZ131041:MGB131041 MPV131041:MPX131041 MZR131041:MZT131041 NJN131041:NJP131041 NTJ131041:NTL131041 ODF131041:ODH131041 ONB131041:OND131041 OWX131041:OWZ131041 PGT131041:PGV131041 PQP131041:PQR131041 QAL131041:QAN131041 QKH131041:QKJ131041 QUD131041:QUF131041 RDZ131041:REB131041 RNV131041:RNX131041 RXR131041:RXT131041 SHN131041:SHP131041 SRJ131041:SRL131041 TBF131041:TBH131041 TLB131041:TLD131041 TUX131041:TUZ131041 UET131041:UEV131041 UOP131041:UOR131041 UYL131041:UYN131041 VIH131041:VIJ131041 VSD131041:VSF131041 WBZ131041:WCB131041 WLV131041:WLX131041 WVR131041:WVT131041 H131052:N131052 JF196577:JH196577 TB196577:TD196577 ACX196577:ACZ196577 AMT196577:AMV196577 AWP196577:AWR196577 BGL196577:BGN196577 BQH196577:BQJ196577 CAD196577:CAF196577 CJZ196577:CKB196577 CTV196577:CTX196577 DDR196577:DDT196577 DNN196577:DNP196577 DXJ196577:DXL196577 EHF196577:EHH196577 ERB196577:ERD196577 FAX196577:FAZ196577 FKT196577:FKV196577 FUP196577:FUR196577 GEL196577:GEN196577 GOH196577:GOJ196577 GYD196577:GYF196577 HHZ196577:HIB196577 HRV196577:HRX196577 IBR196577:IBT196577 ILN196577:ILP196577 IVJ196577:IVL196577 JFF196577:JFH196577 JPB196577:JPD196577 JYX196577:JYZ196577 KIT196577:KIV196577 KSP196577:KSR196577 LCL196577:LCN196577 LMH196577:LMJ196577 LWD196577:LWF196577 MFZ196577:MGB196577 MPV196577:MPX196577 MZR196577:MZT196577 NJN196577:NJP196577 NTJ196577:NTL196577 ODF196577:ODH196577 ONB196577:OND196577 OWX196577:OWZ196577 PGT196577:PGV196577 PQP196577:PQR196577 QAL196577:QAN196577 QKH196577:QKJ196577 QUD196577:QUF196577 RDZ196577:REB196577 RNV196577:RNX196577 RXR196577:RXT196577 SHN196577:SHP196577 SRJ196577:SRL196577 TBF196577:TBH196577 TLB196577:TLD196577 TUX196577:TUZ196577 UET196577:UEV196577 UOP196577:UOR196577 UYL196577:UYN196577 VIH196577:VIJ196577 VSD196577:VSF196577 WBZ196577:WCB196577 WLV196577:WLX196577 WVR196577:WVT196577 H196588:N196588 JF262113:JH262113 TB262113:TD262113 ACX262113:ACZ262113 AMT262113:AMV262113 AWP262113:AWR262113 BGL262113:BGN262113 BQH262113:BQJ262113 CAD262113:CAF262113 CJZ262113:CKB262113 CTV262113:CTX262113 DDR262113:DDT262113 DNN262113:DNP262113 DXJ262113:DXL262113 EHF262113:EHH262113 ERB262113:ERD262113 FAX262113:FAZ262113 FKT262113:FKV262113 FUP262113:FUR262113 GEL262113:GEN262113 GOH262113:GOJ262113 GYD262113:GYF262113 HHZ262113:HIB262113 HRV262113:HRX262113 IBR262113:IBT262113 ILN262113:ILP262113 IVJ262113:IVL262113 JFF262113:JFH262113 JPB262113:JPD262113 JYX262113:JYZ262113 KIT262113:KIV262113 KSP262113:KSR262113 LCL262113:LCN262113 LMH262113:LMJ262113 LWD262113:LWF262113 MFZ262113:MGB262113 MPV262113:MPX262113 MZR262113:MZT262113 NJN262113:NJP262113 NTJ262113:NTL262113 ODF262113:ODH262113 ONB262113:OND262113 OWX262113:OWZ262113 PGT262113:PGV262113 PQP262113:PQR262113 QAL262113:QAN262113 QKH262113:QKJ262113 QUD262113:QUF262113 RDZ262113:REB262113 RNV262113:RNX262113 RXR262113:RXT262113 SHN262113:SHP262113 SRJ262113:SRL262113 TBF262113:TBH262113 TLB262113:TLD262113 TUX262113:TUZ262113 UET262113:UEV262113 UOP262113:UOR262113 UYL262113:UYN262113 VIH262113:VIJ262113 VSD262113:VSF262113 WBZ262113:WCB262113 WLV262113:WLX262113 WVR262113:WVT262113 H262124:N262124 JF327649:JH327649 TB327649:TD327649 ACX327649:ACZ327649 AMT327649:AMV327649 AWP327649:AWR327649 BGL327649:BGN327649 BQH327649:BQJ327649 CAD327649:CAF327649 CJZ327649:CKB327649 CTV327649:CTX327649 DDR327649:DDT327649 DNN327649:DNP327649 DXJ327649:DXL327649 EHF327649:EHH327649 ERB327649:ERD327649 FAX327649:FAZ327649 FKT327649:FKV327649 FUP327649:FUR327649 GEL327649:GEN327649 GOH327649:GOJ327649 GYD327649:GYF327649 HHZ327649:HIB327649 HRV327649:HRX327649 IBR327649:IBT327649 ILN327649:ILP327649 IVJ327649:IVL327649 JFF327649:JFH327649 JPB327649:JPD327649 JYX327649:JYZ327649 KIT327649:KIV327649 KSP327649:KSR327649 LCL327649:LCN327649 LMH327649:LMJ327649 LWD327649:LWF327649 MFZ327649:MGB327649 MPV327649:MPX327649 MZR327649:MZT327649 NJN327649:NJP327649 NTJ327649:NTL327649 ODF327649:ODH327649 ONB327649:OND327649 OWX327649:OWZ327649 PGT327649:PGV327649 PQP327649:PQR327649 QAL327649:QAN327649 QKH327649:QKJ327649 QUD327649:QUF327649 RDZ327649:REB327649 RNV327649:RNX327649 RXR327649:RXT327649 SHN327649:SHP327649 SRJ327649:SRL327649 TBF327649:TBH327649 TLB327649:TLD327649 TUX327649:TUZ327649 UET327649:UEV327649 UOP327649:UOR327649 UYL327649:UYN327649 VIH327649:VIJ327649 VSD327649:VSF327649 WBZ327649:WCB327649 WLV327649:WLX327649 WVR327649:WVT327649 H327660:N327660 JF393185:JH393185 TB393185:TD393185 ACX393185:ACZ393185 AMT393185:AMV393185 AWP393185:AWR393185 BGL393185:BGN393185 BQH393185:BQJ393185 CAD393185:CAF393185 CJZ393185:CKB393185 CTV393185:CTX393185 DDR393185:DDT393185 DNN393185:DNP393185 DXJ393185:DXL393185 EHF393185:EHH393185 ERB393185:ERD393185 FAX393185:FAZ393185 FKT393185:FKV393185 FUP393185:FUR393185 GEL393185:GEN393185 GOH393185:GOJ393185 GYD393185:GYF393185 HHZ393185:HIB393185 HRV393185:HRX393185 IBR393185:IBT393185 ILN393185:ILP393185 IVJ393185:IVL393185 JFF393185:JFH393185 JPB393185:JPD393185 JYX393185:JYZ393185 KIT393185:KIV393185 KSP393185:KSR393185 LCL393185:LCN393185 LMH393185:LMJ393185 LWD393185:LWF393185 MFZ393185:MGB393185 MPV393185:MPX393185 MZR393185:MZT393185 NJN393185:NJP393185 NTJ393185:NTL393185 ODF393185:ODH393185 ONB393185:OND393185 OWX393185:OWZ393185 PGT393185:PGV393185 PQP393185:PQR393185 QAL393185:QAN393185 QKH393185:QKJ393185 QUD393185:QUF393185 RDZ393185:REB393185 RNV393185:RNX393185 RXR393185:RXT393185 SHN393185:SHP393185 SRJ393185:SRL393185 TBF393185:TBH393185 TLB393185:TLD393185 TUX393185:TUZ393185 UET393185:UEV393185 UOP393185:UOR393185 UYL393185:UYN393185 VIH393185:VIJ393185 VSD393185:VSF393185 WBZ393185:WCB393185 WLV393185:WLX393185 WVR393185:WVT393185 H393196:N393196 JF458721:JH458721 TB458721:TD458721 ACX458721:ACZ458721 AMT458721:AMV458721 AWP458721:AWR458721 BGL458721:BGN458721 BQH458721:BQJ458721 CAD458721:CAF458721 CJZ458721:CKB458721 CTV458721:CTX458721 DDR458721:DDT458721 DNN458721:DNP458721 DXJ458721:DXL458721 EHF458721:EHH458721 ERB458721:ERD458721 FAX458721:FAZ458721 FKT458721:FKV458721 FUP458721:FUR458721 GEL458721:GEN458721 GOH458721:GOJ458721 GYD458721:GYF458721 HHZ458721:HIB458721 HRV458721:HRX458721 IBR458721:IBT458721 ILN458721:ILP458721 IVJ458721:IVL458721 JFF458721:JFH458721 JPB458721:JPD458721 JYX458721:JYZ458721 KIT458721:KIV458721 KSP458721:KSR458721 LCL458721:LCN458721 LMH458721:LMJ458721 LWD458721:LWF458721 MFZ458721:MGB458721 MPV458721:MPX458721 MZR458721:MZT458721 NJN458721:NJP458721 NTJ458721:NTL458721 ODF458721:ODH458721 ONB458721:OND458721 OWX458721:OWZ458721 PGT458721:PGV458721 PQP458721:PQR458721 QAL458721:QAN458721 QKH458721:QKJ458721 QUD458721:QUF458721 RDZ458721:REB458721 RNV458721:RNX458721 RXR458721:RXT458721 SHN458721:SHP458721 SRJ458721:SRL458721 TBF458721:TBH458721 TLB458721:TLD458721 TUX458721:TUZ458721 UET458721:UEV458721 UOP458721:UOR458721 UYL458721:UYN458721 VIH458721:VIJ458721 VSD458721:VSF458721 WBZ458721:WCB458721 WLV458721:WLX458721 WVR458721:WVT458721 H458732:N458732 JF524257:JH524257 TB524257:TD524257 ACX524257:ACZ524257 AMT524257:AMV524257 AWP524257:AWR524257 BGL524257:BGN524257 BQH524257:BQJ524257 CAD524257:CAF524257 CJZ524257:CKB524257 CTV524257:CTX524257 DDR524257:DDT524257 DNN524257:DNP524257 DXJ524257:DXL524257 EHF524257:EHH524257 ERB524257:ERD524257 FAX524257:FAZ524257 FKT524257:FKV524257 FUP524257:FUR524257 GEL524257:GEN524257 GOH524257:GOJ524257 GYD524257:GYF524257 HHZ524257:HIB524257 HRV524257:HRX524257 IBR524257:IBT524257 ILN524257:ILP524257 IVJ524257:IVL524257 JFF524257:JFH524257 JPB524257:JPD524257 JYX524257:JYZ524257 KIT524257:KIV524257 KSP524257:KSR524257 LCL524257:LCN524257 LMH524257:LMJ524257 LWD524257:LWF524257 MFZ524257:MGB524257 MPV524257:MPX524257 MZR524257:MZT524257 NJN524257:NJP524257 NTJ524257:NTL524257 ODF524257:ODH524257 ONB524257:OND524257 OWX524257:OWZ524257 PGT524257:PGV524257 PQP524257:PQR524257 QAL524257:QAN524257 QKH524257:QKJ524257 QUD524257:QUF524257 RDZ524257:REB524257 RNV524257:RNX524257 RXR524257:RXT524257 SHN524257:SHP524257 SRJ524257:SRL524257 TBF524257:TBH524257 TLB524257:TLD524257 TUX524257:TUZ524257 UET524257:UEV524257 UOP524257:UOR524257 UYL524257:UYN524257 VIH524257:VIJ524257 VSD524257:VSF524257 WBZ524257:WCB524257 WLV524257:WLX524257 WVR524257:WVT524257 H524268:N524268 JF589793:JH589793 TB589793:TD589793 ACX589793:ACZ589793 AMT589793:AMV589793 AWP589793:AWR589793 BGL589793:BGN589793 BQH589793:BQJ589793 CAD589793:CAF589793 CJZ589793:CKB589793 CTV589793:CTX589793 DDR589793:DDT589793 DNN589793:DNP589793 DXJ589793:DXL589793 EHF589793:EHH589793 ERB589793:ERD589793 FAX589793:FAZ589793 FKT589793:FKV589793 FUP589793:FUR589793 GEL589793:GEN589793 GOH589793:GOJ589793 GYD589793:GYF589793 HHZ589793:HIB589793 HRV589793:HRX589793 IBR589793:IBT589793 ILN589793:ILP589793 IVJ589793:IVL589793 JFF589793:JFH589793 JPB589793:JPD589793 JYX589793:JYZ589793 KIT589793:KIV589793 KSP589793:KSR589793 LCL589793:LCN589793 LMH589793:LMJ589793 LWD589793:LWF589793 MFZ589793:MGB589793 MPV589793:MPX589793 MZR589793:MZT589793 NJN589793:NJP589793 NTJ589793:NTL589793 ODF589793:ODH589793 ONB589793:OND589793 OWX589793:OWZ589793 PGT589793:PGV589793 PQP589793:PQR589793 QAL589793:QAN589793 QKH589793:QKJ589793 QUD589793:QUF589793 RDZ589793:REB589793 RNV589793:RNX589793 RXR589793:RXT589793 SHN589793:SHP589793 SRJ589793:SRL589793 TBF589793:TBH589793 TLB589793:TLD589793 TUX589793:TUZ589793 UET589793:UEV589793 UOP589793:UOR589793 UYL589793:UYN589793 VIH589793:VIJ589793 VSD589793:VSF589793 WBZ589793:WCB589793 WLV589793:WLX589793 WVR589793:WVT589793 H589804:N589804 JF655329:JH655329 TB655329:TD655329 ACX655329:ACZ655329 AMT655329:AMV655329 AWP655329:AWR655329 BGL655329:BGN655329 BQH655329:BQJ655329 CAD655329:CAF655329 CJZ655329:CKB655329 CTV655329:CTX655329 DDR655329:DDT655329 DNN655329:DNP655329 DXJ655329:DXL655329 EHF655329:EHH655329 ERB655329:ERD655329 FAX655329:FAZ655329 FKT655329:FKV655329 FUP655329:FUR655329 GEL655329:GEN655329 GOH655329:GOJ655329 GYD655329:GYF655329 HHZ655329:HIB655329 HRV655329:HRX655329 IBR655329:IBT655329 ILN655329:ILP655329 IVJ655329:IVL655329 JFF655329:JFH655329 JPB655329:JPD655329 JYX655329:JYZ655329 KIT655329:KIV655329 KSP655329:KSR655329 LCL655329:LCN655329 LMH655329:LMJ655329 LWD655329:LWF655329 MFZ655329:MGB655329 MPV655329:MPX655329 MZR655329:MZT655329 NJN655329:NJP655329 NTJ655329:NTL655329 ODF655329:ODH655329 ONB655329:OND655329 OWX655329:OWZ655329 PGT655329:PGV655329 PQP655329:PQR655329 QAL655329:QAN655329 QKH655329:QKJ655329 QUD655329:QUF655329 RDZ655329:REB655329 RNV655329:RNX655329 RXR655329:RXT655329 SHN655329:SHP655329 SRJ655329:SRL655329 TBF655329:TBH655329 TLB655329:TLD655329 TUX655329:TUZ655329 UET655329:UEV655329 UOP655329:UOR655329 UYL655329:UYN655329 VIH655329:VIJ655329 VSD655329:VSF655329 WBZ655329:WCB655329 WLV655329:WLX655329 WVR655329:WVT655329 H655340:N655340 JF720865:JH720865 TB720865:TD720865 ACX720865:ACZ720865 AMT720865:AMV720865 AWP720865:AWR720865 BGL720865:BGN720865 BQH720865:BQJ720865 CAD720865:CAF720865 CJZ720865:CKB720865 CTV720865:CTX720865 DDR720865:DDT720865 DNN720865:DNP720865 DXJ720865:DXL720865 EHF720865:EHH720865 ERB720865:ERD720865 FAX720865:FAZ720865 FKT720865:FKV720865 FUP720865:FUR720865 GEL720865:GEN720865 GOH720865:GOJ720865 GYD720865:GYF720865 HHZ720865:HIB720865 HRV720865:HRX720865 IBR720865:IBT720865 ILN720865:ILP720865 IVJ720865:IVL720865 JFF720865:JFH720865 JPB720865:JPD720865 JYX720865:JYZ720865 KIT720865:KIV720865 KSP720865:KSR720865 LCL720865:LCN720865 LMH720865:LMJ720865 LWD720865:LWF720865 MFZ720865:MGB720865 MPV720865:MPX720865 MZR720865:MZT720865 NJN720865:NJP720865 NTJ720865:NTL720865 ODF720865:ODH720865 ONB720865:OND720865 OWX720865:OWZ720865 PGT720865:PGV720865 PQP720865:PQR720865 QAL720865:QAN720865 QKH720865:QKJ720865 QUD720865:QUF720865 RDZ720865:REB720865 RNV720865:RNX720865 RXR720865:RXT720865 SHN720865:SHP720865 SRJ720865:SRL720865 TBF720865:TBH720865 TLB720865:TLD720865 TUX720865:TUZ720865 UET720865:UEV720865 UOP720865:UOR720865 UYL720865:UYN720865 VIH720865:VIJ720865 VSD720865:VSF720865 WBZ720865:WCB720865 WLV720865:WLX720865 WVR720865:WVT720865 H720876:N720876 JF786401:JH786401 TB786401:TD786401 ACX786401:ACZ786401 AMT786401:AMV786401 AWP786401:AWR786401 BGL786401:BGN786401 BQH786401:BQJ786401 CAD786401:CAF786401 CJZ786401:CKB786401 CTV786401:CTX786401 DDR786401:DDT786401 DNN786401:DNP786401 DXJ786401:DXL786401 EHF786401:EHH786401 ERB786401:ERD786401 FAX786401:FAZ786401 FKT786401:FKV786401 FUP786401:FUR786401 GEL786401:GEN786401 GOH786401:GOJ786401 GYD786401:GYF786401 HHZ786401:HIB786401 HRV786401:HRX786401 IBR786401:IBT786401 ILN786401:ILP786401 IVJ786401:IVL786401 JFF786401:JFH786401 JPB786401:JPD786401 JYX786401:JYZ786401 KIT786401:KIV786401 KSP786401:KSR786401 LCL786401:LCN786401 LMH786401:LMJ786401 LWD786401:LWF786401 MFZ786401:MGB786401 MPV786401:MPX786401 MZR786401:MZT786401 NJN786401:NJP786401 NTJ786401:NTL786401 ODF786401:ODH786401 ONB786401:OND786401 OWX786401:OWZ786401 PGT786401:PGV786401 PQP786401:PQR786401 QAL786401:QAN786401 QKH786401:QKJ786401 QUD786401:QUF786401 RDZ786401:REB786401 RNV786401:RNX786401 RXR786401:RXT786401 SHN786401:SHP786401 SRJ786401:SRL786401 TBF786401:TBH786401 TLB786401:TLD786401 TUX786401:TUZ786401 UET786401:UEV786401 UOP786401:UOR786401 UYL786401:UYN786401 VIH786401:VIJ786401 VSD786401:VSF786401 WBZ786401:WCB786401 WLV786401:WLX786401 WVR786401:WVT786401 H786412:N786412 JF851937:JH851937 TB851937:TD851937 ACX851937:ACZ851937 AMT851937:AMV851937 AWP851937:AWR851937 BGL851937:BGN851937 BQH851937:BQJ851937 CAD851937:CAF851937 CJZ851937:CKB851937 CTV851937:CTX851937 DDR851937:DDT851937 DNN851937:DNP851937 DXJ851937:DXL851937 EHF851937:EHH851937 ERB851937:ERD851937 FAX851937:FAZ851937 FKT851937:FKV851937 FUP851937:FUR851937 GEL851937:GEN851937 GOH851937:GOJ851937 GYD851937:GYF851937 HHZ851937:HIB851937 HRV851937:HRX851937 IBR851937:IBT851937 ILN851937:ILP851937 IVJ851937:IVL851937 JFF851937:JFH851937 JPB851937:JPD851937 JYX851937:JYZ851937 KIT851937:KIV851937 KSP851937:KSR851937 LCL851937:LCN851937 LMH851937:LMJ851937 LWD851937:LWF851937 MFZ851937:MGB851937 MPV851937:MPX851937 MZR851937:MZT851937 NJN851937:NJP851937 NTJ851937:NTL851937 ODF851937:ODH851937 ONB851937:OND851937 OWX851937:OWZ851937 PGT851937:PGV851937 PQP851937:PQR851937 QAL851937:QAN851937 QKH851937:QKJ851937 QUD851937:QUF851937 RDZ851937:REB851937 RNV851937:RNX851937 RXR851937:RXT851937 SHN851937:SHP851937 SRJ851937:SRL851937 TBF851937:TBH851937 TLB851937:TLD851937 TUX851937:TUZ851937 UET851937:UEV851937 UOP851937:UOR851937 UYL851937:UYN851937 VIH851937:VIJ851937 VSD851937:VSF851937 WBZ851937:WCB851937 WLV851937:WLX851937 WVR851937:WVT851937 H851948:N851948 JF917473:JH917473 TB917473:TD917473 ACX917473:ACZ917473 AMT917473:AMV917473 AWP917473:AWR917473 BGL917473:BGN917473 BQH917473:BQJ917473 CAD917473:CAF917473 CJZ917473:CKB917473 CTV917473:CTX917473 DDR917473:DDT917473 DNN917473:DNP917473 DXJ917473:DXL917473 EHF917473:EHH917473 ERB917473:ERD917473 FAX917473:FAZ917473 FKT917473:FKV917473 FUP917473:FUR917473 GEL917473:GEN917473 GOH917473:GOJ917473 GYD917473:GYF917473 HHZ917473:HIB917473 HRV917473:HRX917473 IBR917473:IBT917473 ILN917473:ILP917473 IVJ917473:IVL917473 JFF917473:JFH917473 JPB917473:JPD917473 JYX917473:JYZ917473 KIT917473:KIV917473 KSP917473:KSR917473 LCL917473:LCN917473 LMH917473:LMJ917473 LWD917473:LWF917473 MFZ917473:MGB917473 MPV917473:MPX917473 MZR917473:MZT917473 NJN917473:NJP917473 NTJ917473:NTL917473 ODF917473:ODH917473 ONB917473:OND917473 OWX917473:OWZ917473 PGT917473:PGV917473 PQP917473:PQR917473 QAL917473:QAN917473 QKH917473:QKJ917473 QUD917473:QUF917473 RDZ917473:REB917473 RNV917473:RNX917473 RXR917473:RXT917473 SHN917473:SHP917473 SRJ917473:SRL917473 TBF917473:TBH917473 TLB917473:TLD917473 TUX917473:TUZ917473 UET917473:UEV917473 UOP917473:UOR917473 UYL917473:UYN917473 VIH917473:VIJ917473 VSD917473:VSF917473 WBZ917473:WCB917473 WLV917473:WLX917473 WVR917473:WVT917473 H917484:N917484 JF983009:JH983009 TB983009:TD983009 ACX983009:ACZ983009 AMT983009:AMV983009 AWP983009:AWR983009 BGL983009:BGN983009 BQH983009:BQJ983009 CAD983009:CAF983009 CJZ983009:CKB983009 CTV983009:CTX983009 DDR983009:DDT983009 DNN983009:DNP983009 DXJ983009:DXL983009 EHF983009:EHH983009 ERB983009:ERD983009 FAX983009:FAZ983009 FKT983009:FKV983009 FUP983009:FUR983009 GEL983009:GEN983009 GOH983009:GOJ983009 GYD983009:GYF983009 HHZ983009:HIB983009 HRV983009:HRX983009 IBR983009:IBT983009 ILN983009:ILP983009 IVJ983009:IVL983009 JFF983009:JFH983009 JPB983009:JPD983009 JYX983009:JYZ983009 KIT983009:KIV983009 KSP983009:KSR983009 LCL983009:LCN983009 LMH983009:LMJ983009 LWD983009:LWF983009 MFZ983009:MGB983009 MPV983009:MPX983009 MZR983009:MZT983009 NJN983009:NJP983009 NTJ983009:NTL983009 ODF983009:ODH983009 ONB983009:OND983009 OWX983009:OWZ983009 PGT983009:PGV983009 PQP983009:PQR983009 QAL983009:QAN983009 QKH983009:QKJ983009 QUD983009:QUF983009 RDZ983009:REB983009 RNV983009:RNX983009 RXR983009:RXT983009 SHN983009:SHP983009 SRJ983009:SRL983009 TBF983009:TBH983009 TLB983009:TLD983009 TUX983009:TUZ983009 UET983009:UEV983009 UOP983009:UOR983009 UYL983009:UYN983009 VIH983009:VIJ983009 VSD983009:VSF983009 WBZ983009:WCB983009 WLV983009:WLX983009 WVR983009:WVT983009 H983020:N983020">
      <formula1>"数字城管,权力阳光,政府信息化,平安城市,园区智能化,其它"</formula1>
    </dataValidation>
    <dataValidation type="list" allowBlank="1" showInputMessage="1" showErrorMessage="1" sqref="JJ2:JK2 TF2:TG2 ADB2:ADC2 AMX2:AMY2 AWT2:AWU2 BGP2:BGQ2 BQL2:BQM2 CAH2:CAI2 CKD2:CKE2 CTZ2:CUA2 DDV2:DDW2 DNR2:DNS2 DXN2:DXO2 EHJ2:EHK2 ERF2:ERG2 FBB2:FBC2 FKX2:FKY2 FUT2:FUU2 GEP2:GEQ2 GOL2:GOM2 GYH2:GYI2 HID2:HIE2 HRZ2:HSA2 IBV2:IBW2 ILR2:ILS2 IVN2:IVO2 JFJ2:JFK2 JPF2:JPG2 JZB2:JZC2 KIX2:KIY2 KST2:KSU2 LCP2:LCQ2 LML2:LMM2 LWH2:LWI2 MGD2:MGE2 MPZ2:MQA2 MZV2:MZW2 NJR2:NJS2 NTN2:NTO2 ODJ2:ODK2 ONF2:ONG2 OXB2:OXC2 PGX2:PGY2 PQT2:PQU2 QAP2:QAQ2 QKL2:QKM2 QUH2:QUI2 RED2:REE2 RNZ2:ROA2 RXV2:RXW2 SHR2:SHS2 SRN2:SRO2 TBJ2:TBK2 TLF2:TLG2 TVB2:TVC2 UEX2:UEY2 UOT2:UOU2 UYP2:UYQ2 VIL2:VIM2 VSH2:VSI2 WCD2:WCE2 WLZ2:WMA2 WVV2:WVW2 JJ65505:JK65505 TF65505:TG65505 ADB65505:ADC65505 AMX65505:AMY65505 AWT65505:AWU65505 BGP65505:BGQ65505 BQL65505:BQM65505 CAH65505:CAI65505 CKD65505:CKE65505 CTZ65505:CUA65505 DDV65505:DDW65505 DNR65505:DNS65505 DXN65505:DXO65505 EHJ65505:EHK65505 ERF65505:ERG65505 FBB65505:FBC65505 FKX65505:FKY65505 FUT65505:FUU65505 GEP65505:GEQ65505 GOL65505:GOM65505 GYH65505:GYI65505 HID65505:HIE65505 HRZ65505:HSA65505 IBV65505:IBW65505 ILR65505:ILS65505 IVN65505:IVO65505 JFJ65505:JFK65505 JPF65505:JPG65505 JZB65505:JZC65505 KIX65505:KIY65505 KST65505:KSU65505 LCP65505:LCQ65505 LML65505:LMM65505 LWH65505:LWI65505 MGD65505:MGE65505 MPZ65505:MQA65505 MZV65505:MZW65505 NJR65505:NJS65505 NTN65505:NTO65505 ODJ65505:ODK65505 ONF65505:ONG65505 OXB65505:OXC65505 PGX65505:PGY65505 PQT65505:PQU65505 QAP65505:QAQ65505 QKL65505:QKM65505 QUH65505:QUI65505 RED65505:REE65505 RNZ65505:ROA65505 RXV65505:RXW65505 SHR65505:SHS65505 SRN65505:SRO65505 TBJ65505:TBK65505 TLF65505:TLG65505 TVB65505:TVC65505 UEX65505:UEY65505 UOT65505:UOU65505 UYP65505:UYQ65505 VIL65505:VIM65505 VSH65505:VSI65505 WCD65505:WCE65505 WLZ65505:WMA65505 WVV65505:WVW65505 O65516:P65516 JJ131041:JK131041 TF131041:TG131041 ADB131041:ADC131041 AMX131041:AMY131041 AWT131041:AWU131041 BGP131041:BGQ131041 BQL131041:BQM131041 CAH131041:CAI131041 CKD131041:CKE131041 CTZ131041:CUA131041 DDV131041:DDW131041 DNR131041:DNS131041 DXN131041:DXO131041 EHJ131041:EHK131041 ERF131041:ERG131041 FBB131041:FBC131041 FKX131041:FKY131041 FUT131041:FUU131041 GEP131041:GEQ131041 GOL131041:GOM131041 GYH131041:GYI131041 HID131041:HIE131041 HRZ131041:HSA131041 IBV131041:IBW131041 ILR131041:ILS131041 IVN131041:IVO131041 JFJ131041:JFK131041 JPF131041:JPG131041 JZB131041:JZC131041 KIX131041:KIY131041 KST131041:KSU131041 LCP131041:LCQ131041 LML131041:LMM131041 LWH131041:LWI131041 MGD131041:MGE131041 MPZ131041:MQA131041 MZV131041:MZW131041 NJR131041:NJS131041 NTN131041:NTO131041 ODJ131041:ODK131041 ONF131041:ONG131041 OXB131041:OXC131041 PGX131041:PGY131041 PQT131041:PQU131041 QAP131041:QAQ131041 QKL131041:QKM131041 QUH131041:QUI131041 RED131041:REE131041 RNZ131041:ROA131041 RXV131041:RXW131041 SHR131041:SHS131041 SRN131041:SRO131041 TBJ131041:TBK131041 TLF131041:TLG131041 TVB131041:TVC131041 UEX131041:UEY131041 UOT131041:UOU131041 UYP131041:UYQ131041 VIL131041:VIM131041 VSH131041:VSI131041 WCD131041:WCE131041 WLZ131041:WMA131041 WVV131041:WVW131041 O131052:P131052 JJ196577:JK196577 TF196577:TG196577 ADB196577:ADC196577 AMX196577:AMY196577 AWT196577:AWU196577 BGP196577:BGQ196577 BQL196577:BQM196577 CAH196577:CAI196577 CKD196577:CKE196577 CTZ196577:CUA196577 DDV196577:DDW196577 DNR196577:DNS196577 DXN196577:DXO196577 EHJ196577:EHK196577 ERF196577:ERG196577 FBB196577:FBC196577 FKX196577:FKY196577 FUT196577:FUU196577 GEP196577:GEQ196577 GOL196577:GOM196577 GYH196577:GYI196577 HID196577:HIE196577 HRZ196577:HSA196577 IBV196577:IBW196577 ILR196577:ILS196577 IVN196577:IVO196577 JFJ196577:JFK196577 JPF196577:JPG196577 JZB196577:JZC196577 KIX196577:KIY196577 KST196577:KSU196577 LCP196577:LCQ196577 LML196577:LMM196577 LWH196577:LWI196577 MGD196577:MGE196577 MPZ196577:MQA196577 MZV196577:MZW196577 NJR196577:NJS196577 NTN196577:NTO196577 ODJ196577:ODK196577 ONF196577:ONG196577 OXB196577:OXC196577 PGX196577:PGY196577 PQT196577:PQU196577 QAP196577:QAQ196577 QKL196577:QKM196577 QUH196577:QUI196577 RED196577:REE196577 RNZ196577:ROA196577 RXV196577:RXW196577 SHR196577:SHS196577 SRN196577:SRO196577 TBJ196577:TBK196577 TLF196577:TLG196577 TVB196577:TVC196577 UEX196577:UEY196577 UOT196577:UOU196577 UYP196577:UYQ196577 VIL196577:VIM196577 VSH196577:VSI196577 WCD196577:WCE196577 WLZ196577:WMA196577 WVV196577:WVW196577 O196588:P196588 JJ262113:JK262113 TF262113:TG262113 ADB262113:ADC262113 AMX262113:AMY262113 AWT262113:AWU262113 BGP262113:BGQ262113 BQL262113:BQM262113 CAH262113:CAI262113 CKD262113:CKE262113 CTZ262113:CUA262113 DDV262113:DDW262113 DNR262113:DNS262113 DXN262113:DXO262113 EHJ262113:EHK262113 ERF262113:ERG262113 FBB262113:FBC262113 FKX262113:FKY262113 FUT262113:FUU262113 GEP262113:GEQ262113 GOL262113:GOM262113 GYH262113:GYI262113 HID262113:HIE262113 HRZ262113:HSA262113 IBV262113:IBW262113 ILR262113:ILS262113 IVN262113:IVO262113 JFJ262113:JFK262113 JPF262113:JPG262113 JZB262113:JZC262113 KIX262113:KIY262113 KST262113:KSU262113 LCP262113:LCQ262113 LML262113:LMM262113 LWH262113:LWI262113 MGD262113:MGE262113 MPZ262113:MQA262113 MZV262113:MZW262113 NJR262113:NJS262113 NTN262113:NTO262113 ODJ262113:ODK262113 ONF262113:ONG262113 OXB262113:OXC262113 PGX262113:PGY262113 PQT262113:PQU262113 QAP262113:QAQ262113 QKL262113:QKM262113 QUH262113:QUI262113 RED262113:REE262113 RNZ262113:ROA262113 RXV262113:RXW262113 SHR262113:SHS262113 SRN262113:SRO262113 TBJ262113:TBK262113 TLF262113:TLG262113 TVB262113:TVC262113 UEX262113:UEY262113 UOT262113:UOU262113 UYP262113:UYQ262113 VIL262113:VIM262113 VSH262113:VSI262113 WCD262113:WCE262113 WLZ262113:WMA262113 WVV262113:WVW262113 O262124:P262124 JJ327649:JK327649 TF327649:TG327649 ADB327649:ADC327649 AMX327649:AMY327649 AWT327649:AWU327649 BGP327649:BGQ327649 BQL327649:BQM327649 CAH327649:CAI327649 CKD327649:CKE327649 CTZ327649:CUA327649 DDV327649:DDW327649 DNR327649:DNS327649 DXN327649:DXO327649 EHJ327649:EHK327649 ERF327649:ERG327649 FBB327649:FBC327649 FKX327649:FKY327649 FUT327649:FUU327649 GEP327649:GEQ327649 GOL327649:GOM327649 GYH327649:GYI327649 HID327649:HIE327649 HRZ327649:HSA327649 IBV327649:IBW327649 ILR327649:ILS327649 IVN327649:IVO327649 JFJ327649:JFK327649 JPF327649:JPG327649 JZB327649:JZC327649 KIX327649:KIY327649 KST327649:KSU327649 LCP327649:LCQ327649 LML327649:LMM327649 LWH327649:LWI327649 MGD327649:MGE327649 MPZ327649:MQA327649 MZV327649:MZW327649 NJR327649:NJS327649 NTN327649:NTO327649 ODJ327649:ODK327649 ONF327649:ONG327649 OXB327649:OXC327649 PGX327649:PGY327649 PQT327649:PQU327649 QAP327649:QAQ327649 QKL327649:QKM327649 QUH327649:QUI327649 RED327649:REE327649 RNZ327649:ROA327649 RXV327649:RXW327649 SHR327649:SHS327649 SRN327649:SRO327649 TBJ327649:TBK327649 TLF327649:TLG327649 TVB327649:TVC327649 UEX327649:UEY327649 UOT327649:UOU327649 UYP327649:UYQ327649 VIL327649:VIM327649 VSH327649:VSI327649 WCD327649:WCE327649 WLZ327649:WMA327649 WVV327649:WVW327649 O327660:P327660 JJ393185:JK393185 TF393185:TG393185 ADB393185:ADC393185 AMX393185:AMY393185 AWT393185:AWU393185 BGP393185:BGQ393185 BQL393185:BQM393185 CAH393185:CAI393185 CKD393185:CKE393185 CTZ393185:CUA393185 DDV393185:DDW393185 DNR393185:DNS393185 DXN393185:DXO393185 EHJ393185:EHK393185 ERF393185:ERG393185 FBB393185:FBC393185 FKX393185:FKY393185 FUT393185:FUU393185 GEP393185:GEQ393185 GOL393185:GOM393185 GYH393185:GYI393185 HID393185:HIE393185 HRZ393185:HSA393185 IBV393185:IBW393185 ILR393185:ILS393185 IVN393185:IVO393185 JFJ393185:JFK393185 JPF393185:JPG393185 JZB393185:JZC393185 KIX393185:KIY393185 KST393185:KSU393185 LCP393185:LCQ393185 LML393185:LMM393185 LWH393185:LWI393185 MGD393185:MGE393185 MPZ393185:MQA393185 MZV393185:MZW393185 NJR393185:NJS393185 NTN393185:NTO393185 ODJ393185:ODK393185 ONF393185:ONG393185 OXB393185:OXC393185 PGX393185:PGY393185 PQT393185:PQU393185 QAP393185:QAQ393185 QKL393185:QKM393185 QUH393185:QUI393185 RED393185:REE393185 RNZ393185:ROA393185 RXV393185:RXW393185 SHR393185:SHS393185 SRN393185:SRO393185 TBJ393185:TBK393185 TLF393185:TLG393185 TVB393185:TVC393185 UEX393185:UEY393185 UOT393185:UOU393185 UYP393185:UYQ393185 VIL393185:VIM393185 VSH393185:VSI393185 WCD393185:WCE393185 WLZ393185:WMA393185 WVV393185:WVW393185 O393196:P393196 JJ458721:JK458721 TF458721:TG458721 ADB458721:ADC458721 AMX458721:AMY458721 AWT458721:AWU458721 BGP458721:BGQ458721 BQL458721:BQM458721 CAH458721:CAI458721 CKD458721:CKE458721 CTZ458721:CUA458721 DDV458721:DDW458721 DNR458721:DNS458721 DXN458721:DXO458721 EHJ458721:EHK458721 ERF458721:ERG458721 FBB458721:FBC458721 FKX458721:FKY458721 FUT458721:FUU458721 GEP458721:GEQ458721 GOL458721:GOM458721 GYH458721:GYI458721 HID458721:HIE458721 HRZ458721:HSA458721 IBV458721:IBW458721 ILR458721:ILS458721 IVN458721:IVO458721 JFJ458721:JFK458721 JPF458721:JPG458721 JZB458721:JZC458721 KIX458721:KIY458721 KST458721:KSU458721 LCP458721:LCQ458721 LML458721:LMM458721 LWH458721:LWI458721 MGD458721:MGE458721 MPZ458721:MQA458721 MZV458721:MZW458721 NJR458721:NJS458721 NTN458721:NTO458721 ODJ458721:ODK458721 ONF458721:ONG458721 OXB458721:OXC458721 PGX458721:PGY458721 PQT458721:PQU458721 QAP458721:QAQ458721 QKL458721:QKM458721 QUH458721:QUI458721 RED458721:REE458721 RNZ458721:ROA458721 RXV458721:RXW458721 SHR458721:SHS458721 SRN458721:SRO458721 TBJ458721:TBK458721 TLF458721:TLG458721 TVB458721:TVC458721 UEX458721:UEY458721 UOT458721:UOU458721 UYP458721:UYQ458721 VIL458721:VIM458721 VSH458721:VSI458721 WCD458721:WCE458721 WLZ458721:WMA458721 WVV458721:WVW458721 O458732:P458732 JJ524257:JK524257 TF524257:TG524257 ADB524257:ADC524257 AMX524257:AMY524257 AWT524257:AWU524257 BGP524257:BGQ524257 BQL524257:BQM524257 CAH524257:CAI524257 CKD524257:CKE524257 CTZ524257:CUA524257 DDV524257:DDW524257 DNR524257:DNS524257 DXN524257:DXO524257 EHJ524257:EHK524257 ERF524257:ERG524257 FBB524257:FBC524257 FKX524257:FKY524257 FUT524257:FUU524257 GEP524257:GEQ524257 GOL524257:GOM524257 GYH524257:GYI524257 HID524257:HIE524257 HRZ524257:HSA524257 IBV524257:IBW524257 ILR524257:ILS524257 IVN524257:IVO524257 JFJ524257:JFK524257 JPF524257:JPG524257 JZB524257:JZC524257 KIX524257:KIY524257 KST524257:KSU524257 LCP524257:LCQ524257 LML524257:LMM524257 LWH524257:LWI524257 MGD524257:MGE524257 MPZ524257:MQA524257 MZV524257:MZW524257 NJR524257:NJS524257 NTN524257:NTO524257 ODJ524257:ODK524257 ONF524257:ONG524257 OXB524257:OXC524257 PGX524257:PGY524257 PQT524257:PQU524257 QAP524257:QAQ524257 QKL524257:QKM524257 QUH524257:QUI524257 RED524257:REE524257 RNZ524257:ROA524257 RXV524257:RXW524257 SHR524257:SHS524257 SRN524257:SRO524257 TBJ524257:TBK524257 TLF524257:TLG524257 TVB524257:TVC524257 UEX524257:UEY524257 UOT524257:UOU524257 UYP524257:UYQ524257 VIL524257:VIM524257 VSH524257:VSI524257 WCD524257:WCE524257 WLZ524257:WMA524257 WVV524257:WVW524257 O524268:P524268 JJ589793:JK589793 TF589793:TG589793 ADB589793:ADC589793 AMX589793:AMY589793 AWT589793:AWU589793 BGP589793:BGQ589793 BQL589793:BQM589793 CAH589793:CAI589793 CKD589793:CKE589793 CTZ589793:CUA589793 DDV589793:DDW589793 DNR589793:DNS589793 DXN589793:DXO589793 EHJ589793:EHK589793 ERF589793:ERG589793 FBB589793:FBC589793 FKX589793:FKY589793 FUT589793:FUU589793 GEP589793:GEQ589793 GOL589793:GOM589793 GYH589793:GYI589793 HID589793:HIE589793 HRZ589793:HSA589793 IBV589793:IBW589793 ILR589793:ILS589793 IVN589793:IVO589793 JFJ589793:JFK589793 JPF589793:JPG589793 JZB589793:JZC589793 KIX589793:KIY589793 KST589793:KSU589793 LCP589793:LCQ589793 LML589793:LMM589793 LWH589793:LWI589793 MGD589793:MGE589793 MPZ589793:MQA589793 MZV589793:MZW589793 NJR589793:NJS589793 NTN589793:NTO589793 ODJ589793:ODK589793 ONF589793:ONG589793 OXB589793:OXC589793 PGX589793:PGY589793 PQT589793:PQU589793 QAP589793:QAQ589793 QKL589793:QKM589793 QUH589793:QUI589793 RED589793:REE589793 RNZ589793:ROA589793 RXV589793:RXW589793 SHR589793:SHS589793 SRN589793:SRO589793 TBJ589793:TBK589793 TLF589793:TLG589793 TVB589793:TVC589793 UEX589793:UEY589793 UOT589793:UOU589793 UYP589793:UYQ589793 VIL589793:VIM589793 VSH589793:VSI589793 WCD589793:WCE589793 WLZ589793:WMA589793 WVV589793:WVW589793 O589804:P589804 JJ655329:JK655329 TF655329:TG655329 ADB655329:ADC655329 AMX655329:AMY655329 AWT655329:AWU655329 BGP655329:BGQ655329 BQL655329:BQM655329 CAH655329:CAI655329 CKD655329:CKE655329 CTZ655329:CUA655329 DDV655329:DDW655329 DNR655329:DNS655329 DXN655329:DXO655329 EHJ655329:EHK655329 ERF655329:ERG655329 FBB655329:FBC655329 FKX655329:FKY655329 FUT655329:FUU655329 GEP655329:GEQ655329 GOL655329:GOM655329 GYH655329:GYI655329 HID655329:HIE655329 HRZ655329:HSA655329 IBV655329:IBW655329 ILR655329:ILS655329 IVN655329:IVO655329 JFJ655329:JFK655329 JPF655329:JPG655329 JZB655329:JZC655329 KIX655329:KIY655329 KST655329:KSU655329 LCP655329:LCQ655329 LML655329:LMM655329 LWH655329:LWI655329 MGD655329:MGE655329 MPZ655329:MQA655329 MZV655329:MZW655329 NJR655329:NJS655329 NTN655329:NTO655329 ODJ655329:ODK655329 ONF655329:ONG655329 OXB655329:OXC655329 PGX655329:PGY655329 PQT655329:PQU655329 QAP655329:QAQ655329 QKL655329:QKM655329 QUH655329:QUI655329 RED655329:REE655329 RNZ655329:ROA655329 RXV655329:RXW655329 SHR655329:SHS655329 SRN655329:SRO655329 TBJ655329:TBK655329 TLF655329:TLG655329 TVB655329:TVC655329 UEX655329:UEY655329 UOT655329:UOU655329 UYP655329:UYQ655329 VIL655329:VIM655329 VSH655329:VSI655329 WCD655329:WCE655329 WLZ655329:WMA655329 WVV655329:WVW655329 O655340:P655340 JJ720865:JK720865 TF720865:TG720865 ADB720865:ADC720865 AMX720865:AMY720865 AWT720865:AWU720865 BGP720865:BGQ720865 BQL720865:BQM720865 CAH720865:CAI720865 CKD720865:CKE720865 CTZ720865:CUA720865 DDV720865:DDW720865 DNR720865:DNS720865 DXN720865:DXO720865 EHJ720865:EHK720865 ERF720865:ERG720865 FBB720865:FBC720865 FKX720865:FKY720865 FUT720865:FUU720865 GEP720865:GEQ720865 GOL720865:GOM720865 GYH720865:GYI720865 HID720865:HIE720865 HRZ720865:HSA720865 IBV720865:IBW720865 ILR720865:ILS720865 IVN720865:IVO720865 JFJ720865:JFK720865 JPF720865:JPG720865 JZB720865:JZC720865 KIX720865:KIY720865 KST720865:KSU720865 LCP720865:LCQ720865 LML720865:LMM720865 LWH720865:LWI720865 MGD720865:MGE720865 MPZ720865:MQA720865 MZV720865:MZW720865 NJR720865:NJS720865 NTN720865:NTO720865 ODJ720865:ODK720865 ONF720865:ONG720865 OXB720865:OXC720865 PGX720865:PGY720865 PQT720865:PQU720865 QAP720865:QAQ720865 QKL720865:QKM720865 QUH720865:QUI720865 RED720865:REE720865 RNZ720865:ROA720865 RXV720865:RXW720865 SHR720865:SHS720865 SRN720865:SRO720865 TBJ720865:TBK720865 TLF720865:TLG720865 TVB720865:TVC720865 UEX720865:UEY720865 UOT720865:UOU720865 UYP720865:UYQ720865 VIL720865:VIM720865 VSH720865:VSI720865 WCD720865:WCE720865 WLZ720865:WMA720865 WVV720865:WVW720865 O720876:P720876 JJ786401:JK786401 TF786401:TG786401 ADB786401:ADC786401 AMX786401:AMY786401 AWT786401:AWU786401 BGP786401:BGQ786401 BQL786401:BQM786401 CAH786401:CAI786401 CKD786401:CKE786401 CTZ786401:CUA786401 DDV786401:DDW786401 DNR786401:DNS786401 DXN786401:DXO786401 EHJ786401:EHK786401 ERF786401:ERG786401 FBB786401:FBC786401 FKX786401:FKY786401 FUT786401:FUU786401 GEP786401:GEQ786401 GOL786401:GOM786401 GYH786401:GYI786401 HID786401:HIE786401 HRZ786401:HSA786401 IBV786401:IBW786401 ILR786401:ILS786401 IVN786401:IVO786401 JFJ786401:JFK786401 JPF786401:JPG786401 JZB786401:JZC786401 KIX786401:KIY786401 KST786401:KSU786401 LCP786401:LCQ786401 LML786401:LMM786401 LWH786401:LWI786401 MGD786401:MGE786401 MPZ786401:MQA786401 MZV786401:MZW786401 NJR786401:NJS786401 NTN786401:NTO786401 ODJ786401:ODK786401 ONF786401:ONG786401 OXB786401:OXC786401 PGX786401:PGY786401 PQT786401:PQU786401 QAP786401:QAQ786401 QKL786401:QKM786401 QUH786401:QUI786401 RED786401:REE786401 RNZ786401:ROA786401 RXV786401:RXW786401 SHR786401:SHS786401 SRN786401:SRO786401 TBJ786401:TBK786401 TLF786401:TLG786401 TVB786401:TVC786401 UEX786401:UEY786401 UOT786401:UOU786401 UYP786401:UYQ786401 VIL786401:VIM786401 VSH786401:VSI786401 WCD786401:WCE786401 WLZ786401:WMA786401 WVV786401:WVW786401 O786412:P786412 JJ851937:JK851937 TF851937:TG851937 ADB851937:ADC851937 AMX851937:AMY851937 AWT851937:AWU851937 BGP851937:BGQ851937 BQL851937:BQM851937 CAH851937:CAI851937 CKD851937:CKE851937 CTZ851937:CUA851937 DDV851937:DDW851937 DNR851937:DNS851937 DXN851937:DXO851937 EHJ851937:EHK851937 ERF851937:ERG851937 FBB851937:FBC851937 FKX851937:FKY851937 FUT851937:FUU851937 GEP851937:GEQ851937 GOL851937:GOM851937 GYH851937:GYI851937 HID851937:HIE851937 HRZ851937:HSA851937 IBV851937:IBW851937 ILR851937:ILS851937 IVN851937:IVO851937 JFJ851937:JFK851937 JPF851937:JPG851937 JZB851937:JZC851937 KIX851937:KIY851937 KST851937:KSU851937 LCP851937:LCQ851937 LML851937:LMM851937 LWH851937:LWI851937 MGD851937:MGE851937 MPZ851937:MQA851937 MZV851937:MZW851937 NJR851937:NJS851937 NTN851937:NTO851937 ODJ851937:ODK851937 ONF851937:ONG851937 OXB851937:OXC851937 PGX851937:PGY851937 PQT851937:PQU851937 QAP851937:QAQ851937 QKL851937:QKM851937 QUH851937:QUI851937 RED851937:REE851937 RNZ851937:ROA851937 RXV851937:RXW851937 SHR851937:SHS851937 SRN851937:SRO851937 TBJ851937:TBK851937 TLF851937:TLG851937 TVB851937:TVC851937 UEX851937:UEY851937 UOT851937:UOU851937 UYP851937:UYQ851937 VIL851937:VIM851937 VSH851937:VSI851937 WCD851937:WCE851937 WLZ851937:WMA851937 WVV851937:WVW851937 O851948:P851948 JJ917473:JK917473 TF917473:TG917473 ADB917473:ADC917473 AMX917473:AMY917473 AWT917473:AWU917473 BGP917473:BGQ917473 BQL917473:BQM917473 CAH917473:CAI917473 CKD917473:CKE917473 CTZ917473:CUA917473 DDV917473:DDW917473 DNR917473:DNS917473 DXN917473:DXO917473 EHJ917473:EHK917473 ERF917473:ERG917473 FBB917473:FBC917473 FKX917473:FKY917473 FUT917473:FUU917473 GEP917473:GEQ917473 GOL917473:GOM917473 GYH917473:GYI917473 HID917473:HIE917473 HRZ917473:HSA917473 IBV917473:IBW917473 ILR917473:ILS917473 IVN917473:IVO917473 JFJ917473:JFK917473 JPF917473:JPG917473 JZB917473:JZC917473 KIX917473:KIY917473 KST917473:KSU917473 LCP917473:LCQ917473 LML917473:LMM917473 LWH917473:LWI917473 MGD917473:MGE917473 MPZ917473:MQA917473 MZV917473:MZW917473 NJR917473:NJS917473 NTN917473:NTO917473 ODJ917473:ODK917473 ONF917473:ONG917473 OXB917473:OXC917473 PGX917473:PGY917473 PQT917473:PQU917473 QAP917473:QAQ917473 QKL917473:QKM917473 QUH917473:QUI917473 RED917473:REE917473 RNZ917473:ROA917473 RXV917473:RXW917473 SHR917473:SHS917473 SRN917473:SRO917473 TBJ917473:TBK917473 TLF917473:TLG917473 TVB917473:TVC917473 UEX917473:UEY917473 UOT917473:UOU917473 UYP917473:UYQ917473 VIL917473:VIM917473 VSH917473:VSI917473 WCD917473:WCE917473 WLZ917473:WMA917473 WVV917473:WVW917473 O917484:P917484 JJ983009:JK983009 TF983009:TG983009 ADB983009:ADC983009 AMX983009:AMY983009 AWT983009:AWU983009 BGP983009:BGQ983009 BQL983009:BQM983009 CAH983009:CAI983009 CKD983009:CKE983009 CTZ983009:CUA983009 DDV983009:DDW983009 DNR983009:DNS983009 DXN983009:DXO983009 EHJ983009:EHK983009 ERF983009:ERG983009 FBB983009:FBC983009 FKX983009:FKY983009 FUT983009:FUU983009 GEP983009:GEQ983009 GOL983009:GOM983009 GYH983009:GYI983009 HID983009:HIE983009 HRZ983009:HSA983009 IBV983009:IBW983009 ILR983009:ILS983009 IVN983009:IVO983009 JFJ983009:JFK983009 JPF983009:JPG983009 JZB983009:JZC983009 KIX983009:KIY983009 KST983009:KSU983009 LCP983009:LCQ983009 LML983009:LMM983009 LWH983009:LWI983009 MGD983009:MGE983009 MPZ983009:MQA983009 MZV983009:MZW983009 NJR983009:NJS983009 NTN983009:NTO983009 ODJ983009:ODK983009 ONF983009:ONG983009 OXB983009:OXC983009 PGX983009:PGY983009 PQT983009:PQU983009 QAP983009:QAQ983009 QKL983009:QKM983009 QUH983009:QUI983009 RED983009:REE983009 RNZ983009:ROA983009 RXV983009:RXW983009 SHR983009:SHS983009 SRN983009:SRO983009 TBJ983009:TBK983009 TLF983009:TLG983009 TVB983009:TVC983009 UEX983009:UEY983009 UOT983009:UOU983009 UYP983009:UYQ983009 VIL983009:VIM983009 VSH983009:VSI983009 WCD983009:WCE983009 WLZ983009:WMA983009 WVV983009:WVW983009 O983020:P983020">
      <formula1>"移动公司,业务单位"</formula1>
    </dataValidation>
  </dataValidations>
  <pageMargins left="0.7" right="0.7" top="0.75" bottom="0.75" header="0.3" footer="0.3"/>
  <pageSetup paperSize="9" orientation="portrait"/>
  <headerFooter/>
  <ignoredErrors>
    <ignoredError sqref="E52" formulaRange="1" unlockedFormula="1"/>
    <ignoredError sqref="C50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G22" sqref="G22"/>
    </sheetView>
  </sheetViews>
  <sheetFormatPr defaultColWidth="9" defaultRowHeight="14" outlineLevelRow="7"/>
  <cols>
    <col min="1" max="1" width="15" customWidth="1"/>
    <col min="5" max="5" width="9.44545454545455" customWidth="1"/>
  </cols>
  <sheetData>
    <row r="1" ht="17.5" spans="1:9">
      <c r="A1" s="16" t="s">
        <v>202</v>
      </c>
      <c r="B1" s="16"/>
      <c r="C1" s="16"/>
      <c r="D1" s="16"/>
      <c r="E1" s="16"/>
      <c r="F1" s="16"/>
      <c r="G1" s="16"/>
      <c r="H1" s="16"/>
      <c r="I1" s="17"/>
    </row>
    <row r="3" ht="30" customHeight="1" spans="1:9">
      <c r="A3" s="18" t="s">
        <v>203</v>
      </c>
      <c r="B3" s="18" t="s">
        <v>204</v>
      </c>
      <c r="C3" s="18"/>
      <c r="D3" s="19" t="s">
        <v>205</v>
      </c>
      <c r="E3" s="19"/>
      <c r="F3" s="18" t="s">
        <v>206</v>
      </c>
      <c r="G3" s="18"/>
      <c r="H3" s="18" t="s">
        <v>207</v>
      </c>
      <c r="I3" s="18"/>
    </row>
    <row r="4" spans="1:9">
      <c r="A4" s="20" t="s">
        <v>208</v>
      </c>
      <c r="B4" s="21"/>
      <c r="C4" s="21"/>
      <c r="D4" s="21"/>
      <c r="E4" s="21"/>
      <c r="F4" s="21"/>
      <c r="G4" s="21"/>
      <c r="H4" s="21"/>
      <c r="I4" s="21"/>
    </row>
    <row r="5" spans="1:9">
      <c r="A5" s="20" t="s">
        <v>209</v>
      </c>
      <c r="B5" s="21"/>
      <c r="C5" s="21"/>
      <c r="D5" s="21"/>
      <c r="E5" s="21"/>
      <c r="F5" s="21"/>
      <c r="G5" s="21"/>
      <c r="H5" s="21"/>
      <c r="I5" s="21"/>
    </row>
    <row r="6" spans="1:9">
      <c r="A6" s="20" t="s">
        <v>210</v>
      </c>
      <c r="B6" s="21"/>
      <c r="C6" s="21"/>
      <c r="D6" s="21"/>
      <c r="E6" s="21"/>
      <c r="F6" s="21"/>
      <c r="G6" s="21"/>
      <c r="H6" s="21"/>
      <c r="I6" s="21"/>
    </row>
    <row r="7" spans="1:9">
      <c r="A7" s="20" t="s">
        <v>211</v>
      </c>
      <c r="B7" s="21"/>
      <c r="C7" s="21"/>
      <c r="D7" s="21"/>
      <c r="E7" s="21"/>
      <c r="F7" s="21"/>
      <c r="G7" s="21"/>
      <c r="H7" s="21"/>
      <c r="I7" s="21"/>
    </row>
    <row r="8" spans="1:9">
      <c r="A8" s="22" t="s">
        <v>212</v>
      </c>
      <c r="B8" s="21"/>
      <c r="C8" s="21"/>
      <c r="D8" s="21"/>
      <c r="E8" s="21"/>
      <c r="F8" s="21"/>
      <c r="G8" s="21"/>
      <c r="H8" s="21"/>
      <c r="I8" s="21"/>
    </row>
  </sheetData>
  <mergeCells count="24"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I16" sqref="I16"/>
    </sheetView>
  </sheetViews>
  <sheetFormatPr defaultColWidth="9" defaultRowHeight="14" outlineLevelCol="3"/>
  <cols>
    <col min="1" max="1" width="9" style="1"/>
    <col min="2" max="2" width="13.0818181818182" style="1" customWidth="1"/>
    <col min="3" max="3" width="54.8909090909091" style="1" customWidth="1"/>
    <col min="4" max="4" width="55.4454545454545" style="1" customWidth="1"/>
    <col min="5" max="16384" width="9" style="1"/>
  </cols>
  <sheetData>
    <row r="1" s="1" customFormat="1" ht="16.5" spans="1:4">
      <c r="A1" s="2" t="s">
        <v>213</v>
      </c>
      <c r="B1" s="2"/>
      <c r="C1" s="2" t="s">
        <v>214</v>
      </c>
      <c r="D1" s="2" t="s">
        <v>215</v>
      </c>
    </row>
    <row r="2" s="1" customFormat="1" ht="56" spans="1:4">
      <c r="A2" s="3" t="s">
        <v>216</v>
      </c>
      <c r="B2" s="4" t="s">
        <v>209</v>
      </c>
      <c r="C2" s="5" t="s">
        <v>217</v>
      </c>
      <c r="D2" s="6" t="s">
        <v>218</v>
      </c>
    </row>
    <row r="3" s="1" customFormat="1" ht="78" customHeight="1" spans="1:4">
      <c r="A3" s="7"/>
      <c r="B3" s="4" t="s">
        <v>208</v>
      </c>
      <c r="C3" s="6" t="s">
        <v>219</v>
      </c>
      <c r="D3" s="8" t="s">
        <v>220</v>
      </c>
    </row>
    <row r="4" s="1" customFormat="1" ht="42" customHeight="1" spans="1:4">
      <c r="A4" s="7"/>
      <c r="B4" s="4" t="s">
        <v>221</v>
      </c>
      <c r="C4" s="6" t="s">
        <v>222</v>
      </c>
      <c r="D4" s="6" t="s">
        <v>223</v>
      </c>
    </row>
    <row r="5" s="1" customFormat="1" ht="42" spans="1:4">
      <c r="A5" s="9"/>
      <c r="B5" s="4" t="s">
        <v>224</v>
      </c>
      <c r="C5" s="6" t="s">
        <v>225</v>
      </c>
      <c r="D5" s="8" t="s">
        <v>226</v>
      </c>
    </row>
    <row r="6" s="1" customFormat="1" spans="1:4">
      <c r="A6" s="10" t="s">
        <v>227</v>
      </c>
      <c r="B6" s="10" t="s">
        <v>227</v>
      </c>
      <c r="C6" s="6" t="s">
        <v>228</v>
      </c>
      <c r="D6" s="6" t="s">
        <v>229</v>
      </c>
    </row>
    <row r="7" s="1" customFormat="1" spans="1:4">
      <c r="A7" s="10"/>
      <c r="B7" s="10" t="s">
        <v>230</v>
      </c>
      <c r="C7" s="6" t="s">
        <v>228</v>
      </c>
      <c r="D7" s="6" t="s">
        <v>229</v>
      </c>
    </row>
    <row r="8" s="1" customFormat="1" spans="1:4">
      <c r="A8" s="10"/>
      <c r="B8" s="7" t="s">
        <v>231</v>
      </c>
      <c r="C8" s="6" t="s">
        <v>232</v>
      </c>
      <c r="D8" s="6" t="s">
        <v>233</v>
      </c>
    </row>
    <row r="9" s="1" customFormat="1" ht="55" customHeight="1" spans="1:4">
      <c r="A9" s="10" t="s">
        <v>234</v>
      </c>
      <c r="B9" s="10"/>
      <c r="C9" s="8" t="s">
        <v>235</v>
      </c>
      <c r="D9" s="6" t="s">
        <v>236</v>
      </c>
    </row>
    <row r="10" s="1" customFormat="1" spans="1:4">
      <c r="A10" s="10" t="s">
        <v>237</v>
      </c>
      <c r="B10" s="10"/>
      <c r="C10" s="6" t="s">
        <v>238</v>
      </c>
      <c r="D10" s="6" t="s">
        <v>238</v>
      </c>
    </row>
    <row r="11" s="1" customFormat="1" ht="28" customHeight="1" spans="1:4">
      <c r="A11" s="10" t="s">
        <v>211</v>
      </c>
      <c r="B11" s="10"/>
      <c r="C11" s="8" t="s">
        <v>239</v>
      </c>
      <c r="D11" s="6" t="s">
        <v>240</v>
      </c>
    </row>
    <row r="12" s="1" customFormat="1" ht="42" spans="1:4">
      <c r="A12" s="4" t="s">
        <v>241</v>
      </c>
      <c r="B12" s="4"/>
      <c r="C12" s="8" t="s">
        <v>242</v>
      </c>
      <c r="D12" s="6" t="s">
        <v>243</v>
      </c>
    </row>
    <row r="13" s="1" customFormat="1" ht="70" spans="1:4">
      <c r="A13" s="4" t="s">
        <v>244</v>
      </c>
      <c r="B13" s="4"/>
      <c r="C13" s="8" t="s">
        <v>245</v>
      </c>
      <c r="D13" s="6" t="s">
        <v>246</v>
      </c>
    </row>
    <row r="14" s="1" customFormat="1" spans="1:4">
      <c r="A14" s="4" t="s">
        <v>247</v>
      </c>
      <c r="B14" s="4"/>
      <c r="C14" s="6" t="s">
        <v>248</v>
      </c>
      <c r="D14" s="6" t="s">
        <v>249</v>
      </c>
    </row>
    <row r="15" s="1" customFormat="1" spans="1:4">
      <c r="A15" s="10" t="s">
        <v>210</v>
      </c>
      <c r="B15" s="10"/>
      <c r="C15" s="6" t="s">
        <v>250</v>
      </c>
      <c r="D15" s="6" t="s">
        <v>251</v>
      </c>
    </row>
    <row r="16" s="1" customFormat="1" ht="28" spans="1:4">
      <c r="A16" s="11" t="s">
        <v>252</v>
      </c>
      <c r="B16" s="11"/>
      <c r="C16" s="12" t="s">
        <v>253</v>
      </c>
      <c r="D16" s="13" t="s">
        <v>254</v>
      </c>
    </row>
    <row r="17" s="1" customFormat="1" spans="1:4">
      <c r="A17" s="10" t="s">
        <v>255</v>
      </c>
      <c r="B17" s="10"/>
      <c r="C17" s="6" t="s">
        <v>256</v>
      </c>
      <c r="D17" s="6" t="s">
        <v>257</v>
      </c>
    </row>
    <row r="18" s="1" customFormat="1" ht="28" spans="1:4">
      <c r="A18" s="10" t="s">
        <v>258</v>
      </c>
      <c r="B18" s="10"/>
      <c r="C18" s="6" t="s">
        <v>259</v>
      </c>
      <c r="D18" s="6" t="s">
        <v>260</v>
      </c>
    </row>
    <row r="19" s="1" customFormat="1" spans="1:4">
      <c r="A19" s="10" t="s">
        <v>261</v>
      </c>
      <c r="B19" s="10"/>
      <c r="C19" s="6" t="s">
        <v>262</v>
      </c>
      <c r="D19" s="6" t="s">
        <v>263</v>
      </c>
    </row>
    <row r="20" s="1" customFormat="1" ht="28" spans="1:4">
      <c r="A20" s="10" t="s">
        <v>264</v>
      </c>
      <c r="B20" s="10"/>
      <c r="C20" s="6" t="s">
        <v>265</v>
      </c>
      <c r="D20" s="6" t="s">
        <v>265</v>
      </c>
    </row>
    <row r="21" s="1" customFormat="1" ht="28" spans="1:4">
      <c r="A21" s="10" t="s">
        <v>266</v>
      </c>
      <c r="B21" s="11" t="s">
        <v>267</v>
      </c>
      <c r="C21" s="12" t="s">
        <v>253</v>
      </c>
      <c r="D21" s="13" t="s">
        <v>268</v>
      </c>
    </row>
    <row r="22" s="1" customFormat="1" ht="28" spans="1:4">
      <c r="A22" s="10"/>
      <c r="B22" s="11" t="s">
        <v>269</v>
      </c>
      <c r="C22" s="12" t="s">
        <v>253</v>
      </c>
      <c r="D22" s="13" t="s">
        <v>270</v>
      </c>
    </row>
    <row r="23" s="1" customFormat="1" ht="15" customHeight="1" spans="1:4">
      <c r="A23" s="10"/>
      <c r="B23" s="10" t="s">
        <v>271</v>
      </c>
      <c r="C23" s="6" t="s">
        <v>272</v>
      </c>
      <c r="D23" s="6" t="s">
        <v>273</v>
      </c>
    </row>
    <row r="24" s="1" customFormat="1" spans="1:4">
      <c r="A24" s="14" t="s">
        <v>274</v>
      </c>
      <c r="B24" s="15"/>
      <c r="C24" s="6" t="s">
        <v>275</v>
      </c>
      <c r="D24" s="6" t="s">
        <v>276</v>
      </c>
    </row>
  </sheetData>
  <mergeCells count="17">
    <mergeCell ref="A1:B1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4:B24"/>
    <mergeCell ref="A2:A5"/>
    <mergeCell ref="A6:A8"/>
    <mergeCell ref="A21:A2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5" master="" otherUserPermission="visible"/>
  <rangeList sheetStid="11" master="" otherUserPermission="visible">
    <arrUserId title="区域2_2" rangeCreator="" othersAccessPermission="edit"/>
    <arrUserId title="区域1_2" rangeCreator="" othersAccessPermission="edit"/>
    <arrUserId title="区域2_3" rangeCreator="" othersAccessPermission="edit"/>
    <arrUserId title="区域2_2_1" rangeCreator="" othersAccessPermission="edit"/>
    <arrUserId title="区域2_2_2" rangeCreator="" othersAccessPermission="edit"/>
  </rangeList>
  <rangeList sheetStid="12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1-填表说明和指标解释</vt:lpstr>
      <vt:lpstr>2-ICT项目评估结果</vt:lpstr>
      <vt:lpstr>3-直接经济效益评估表</vt:lpstr>
      <vt:lpstr>4-专线及各产品预算表</vt:lpstr>
      <vt:lpstr>5-标准产品投入和公允价值核算细则（如有更新，以更新后的规则）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phoenixl</dc:creator>
  <cp:lastModifiedBy>一</cp:lastModifiedBy>
  <dcterms:created xsi:type="dcterms:W3CDTF">2011-10-26T08:01:00Z</dcterms:created>
  <cp:lastPrinted>2014-04-02T08:38:00Z</cp:lastPrinted>
  <dcterms:modified xsi:type="dcterms:W3CDTF">2026-03-11T08:26:30Z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AA2E3B3108214915B738B6370A11779B_13</vt:lpwstr>
  </property>
</Properties>
</file>