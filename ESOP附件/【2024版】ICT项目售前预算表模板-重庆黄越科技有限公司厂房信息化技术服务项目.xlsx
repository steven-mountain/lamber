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80"/>
  </bookViews>
  <sheets>
    <sheet name="总表" sheetId="2" r:id="rId1"/>
    <sheet name="Sheet1" sheetId="4" r:id="rId2"/>
    <sheet name="审计费计算"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<sst xmlns="http://schemas.openxmlformats.org/spreadsheetml/2006/main" count="72" uniqueCount="69">
  <si>
    <t>项目类型</t>
  </si>
  <si>
    <t>服务型</t>
  </si>
  <si>
    <t xml:space="preserve">有效期： 年  月  日至  月  日  </t>
  </si>
  <si>
    <t>项目名称：重庆黄越科技有限公司厂房信息化技术服务项目</t>
  </si>
  <si>
    <t>序号</t>
  </si>
  <si>
    <t>项目</t>
  </si>
  <si>
    <r>
      <rPr>
        <b/>
        <sz val="9"/>
        <rFont val="宋体"/>
        <charset val="134"/>
      </rPr>
      <t>含税总价</t>
    </r>
    <r>
      <rPr>
        <b/>
        <sz val="9"/>
        <rFont val="Arial"/>
        <charset val="134"/>
      </rPr>
      <t xml:space="preserve">(CNY)
</t>
    </r>
    <r>
      <rPr>
        <b/>
        <sz val="9"/>
        <rFont val="宋体"/>
        <charset val="134"/>
      </rPr>
      <t>单位：元</t>
    </r>
  </si>
  <si>
    <t>税率</t>
  </si>
  <si>
    <t>不含税总价(CNY)
单位：元</t>
  </si>
  <si>
    <t>备注</t>
  </si>
  <si>
    <t>主要设备及甲供配套材料、服务</t>
  </si>
  <si>
    <t>硬件和通用软件是13%计算税率</t>
  </si>
  <si>
    <t>个性化软件、集成、服务是按照6%计算税率</t>
  </si>
  <si>
    <r>
      <rPr>
        <b/>
        <sz val="9"/>
        <rFont val="Arial"/>
        <charset val="134"/>
      </rPr>
      <t>小计</t>
    </r>
    <r>
      <rPr>
        <b/>
        <sz val="9"/>
        <rFont val="Arial"/>
        <charset val="134"/>
      </rPr>
      <t>1</t>
    </r>
  </si>
  <si>
    <t>小计1=1.1+1.2+1.3</t>
  </si>
  <si>
    <t>建筑安装工程费</t>
  </si>
  <si>
    <t>服务型项目此项可删除</t>
  </si>
  <si>
    <t>集成安装费（折后）</t>
  </si>
  <si>
    <t>451定额（2016年）</t>
  </si>
  <si>
    <t>乙供材料费</t>
  </si>
  <si>
    <r>
      <rPr>
        <b/>
        <sz val="9"/>
        <rFont val="宋体"/>
        <charset val="134"/>
      </rPr>
      <t>小计</t>
    </r>
    <r>
      <rPr>
        <b/>
        <sz val="9"/>
        <rFont val="Arial"/>
        <charset val="134"/>
      </rPr>
      <t>2</t>
    </r>
  </si>
  <si>
    <t>小计2=小计2.1+2.2</t>
  </si>
  <si>
    <t>工程其他费</t>
  </si>
  <si>
    <t>销售型、服务型项目此项可删除</t>
  </si>
  <si>
    <t>勘察设计费</t>
  </si>
  <si>
    <r>
      <rPr>
        <b/>
        <sz val="8"/>
        <rFont val="宋体"/>
        <charset val="134"/>
      </rPr>
      <t>设计费=（小计1+小计2）</t>
    </r>
    <r>
      <rPr>
        <b/>
        <sz val="8"/>
        <rFont val="Arial"/>
        <charset val="134"/>
      </rPr>
      <t>*3% *1.15</t>
    </r>
    <r>
      <rPr>
        <b/>
        <sz val="8"/>
        <rFont val="宋体"/>
        <charset val="134"/>
      </rPr>
      <t>（</t>
    </r>
    <r>
      <rPr>
        <b/>
        <sz val="8"/>
        <rFont val="Arial"/>
        <charset val="134"/>
      </rPr>
      <t>2022</t>
    </r>
    <r>
      <rPr>
        <b/>
        <sz val="8"/>
        <rFont val="宋体"/>
        <charset val="134"/>
      </rPr>
      <t>年工程复杂系数）</t>
    </r>
    <r>
      <rPr>
        <b/>
        <sz val="8"/>
        <rFont val="Arial"/>
        <charset val="134"/>
      </rPr>
      <t>*</t>
    </r>
    <r>
      <rPr>
        <b/>
        <sz val="8"/>
        <color rgb="FFFF0000"/>
        <rFont val="Arial"/>
        <charset val="134"/>
      </rPr>
      <t>0.5</t>
    </r>
    <r>
      <rPr>
        <b/>
        <sz val="8"/>
        <color rgb="FFFF0000"/>
        <rFont val="宋体"/>
        <charset val="134"/>
      </rPr>
      <t>（折扣系数）。</t>
    </r>
    <r>
      <rPr>
        <sz val="8"/>
        <rFont val="宋体"/>
        <charset val="134"/>
      </rPr>
      <t>（中国移动</t>
    </r>
    <r>
      <rPr>
        <b/>
        <sz val="8"/>
        <color rgb="FFFF0000"/>
        <rFont val="宋体"/>
        <charset val="134"/>
      </rPr>
      <t>2022年至2024年</t>
    </r>
    <r>
      <rPr>
        <sz val="8"/>
        <rFont val="宋体"/>
        <charset val="134"/>
      </rPr>
      <t>通信工程设计与可行性研究集中采购(重庆)框架协议）。</t>
    </r>
  </si>
  <si>
    <t>工程监理费</t>
  </si>
  <si>
    <r>
      <rPr>
        <sz val="8"/>
        <rFont val="宋体"/>
        <charset val="134"/>
      </rPr>
      <t>根据项目实际需求进行计取，若计取则需根据项目所在区域的框架监理公司折扣进行计算，</t>
    </r>
    <r>
      <rPr>
        <b/>
        <sz val="8"/>
        <rFont val="宋体"/>
        <charset val="134"/>
      </rPr>
      <t>其中《工程建设质量管理条例》第十二条规定的5类项目，投资超过3000万的公共事业项目为必须计列监理费</t>
    </r>
    <r>
      <rPr>
        <b/>
        <sz val="8"/>
        <color rgb="FFFF0000"/>
        <rFont val="宋体"/>
        <charset val="134"/>
      </rPr>
      <t>（详见右边图片）</t>
    </r>
  </si>
  <si>
    <t>安全生产费</t>
  </si>
  <si>
    <r>
      <rPr>
        <b/>
        <sz val="8"/>
        <rFont val="宋体"/>
        <charset val="134"/>
      </rPr>
      <t>安全生产费=建安费*2%=（工程施工费+乙供材料费）*2%。</t>
    </r>
    <r>
      <rPr>
        <sz val="8"/>
        <rFont val="宋体"/>
        <charset val="134"/>
      </rPr>
      <t>（如施工费合同已包含，则不单独计算；如施工费未包含，则需单独计算），财政部应急部关于印发《企业安全生产费用提取和使用管理办法》的通知（财资[2022]136号）</t>
    </r>
    <r>
      <rPr>
        <b/>
        <sz val="8"/>
        <color rgb="FFFF0000"/>
        <rFont val="宋体"/>
        <charset val="134"/>
      </rPr>
      <t>（详见右边图片）</t>
    </r>
  </si>
  <si>
    <t>安全三同步</t>
  </si>
  <si>
    <t>安全三同步为必做内容，费用可参考按照集团集采框架进行计取或自行采购安全三同步费用进行计取。其中：集团集采最新框架100万以下7500元（不含税），100~1000万计取19100元（不含税），1000~5000万元计取24200元（不含税），5000万以上93000元（不含税）</t>
  </si>
  <si>
    <t>审计费</t>
  </si>
  <si>
    <t>审计费=建安费结算审计+设计费结算审计+监理费结算设计+决算审计</t>
  </si>
  <si>
    <t>小计3</t>
  </si>
  <si>
    <t>小计3=3.1+……+3.6</t>
  </si>
  <si>
    <t>小计4</t>
  </si>
  <si>
    <t>预备费</t>
  </si>
  <si>
    <t>-</t>
  </si>
  <si>
    <r>
      <rPr>
        <b/>
        <sz val="9"/>
        <rFont val="宋体"/>
        <charset val="134"/>
      </rPr>
      <t>预备费=（小计1+小计2+小计3）*预备费系数</t>
    </r>
    <r>
      <rPr>
        <sz val="9"/>
        <rFont val="宋体"/>
        <charset val="134"/>
      </rPr>
      <t>。根据项目具体情况选择是否需要预留预备费，无线专业5%、传输专业4%、数据网络专业3%。</t>
    </r>
  </si>
  <si>
    <t>小计5</t>
  </si>
  <si>
    <t>维保</t>
  </si>
  <si>
    <t>设备质保及项目维护；说明维保年限</t>
  </si>
  <si>
    <t>小计6</t>
  </si>
  <si>
    <t>网络信息安全保障</t>
  </si>
  <si>
    <t>根据信息安全员要求和信息安全定级进行填写</t>
  </si>
  <si>
    <t>小计7</t>
  </si>
  <si>
    <t>视频监控</t>
  </si>
  <si>
    <r>
      <rPr>
        <b/>
        <sz val="9"/>
        <rFont val="宋体"/>
        <charset val="134"/>
      </rPr>
      <t>总计</t>
    </r>
  </si>
  <si>
    <t>总计=小计1+小计2+小计3+小计4+小计5+小计6，集采设备以集采结果为准</t>
  </si>
  <si>
    <t>专线建设投资与维护</t>
  </si>
  <si>
    <t>市公司集客部售前派驻人员（签字）：</t>
  </si>
  <si>
    <t>分公司盖章</t>
  </si>
  <si>
    <t>分公司项目经理（签字）：</t>
  </si>
  <si>
    <t>建安费（不含税）</t>
  </si>
  <si>
    <t>设计费（不含税）</t>
  </si>
  <si>
    <t>监理费（不含税）</t>
  </si>
  <si>
    <t>决算审计费</t>
  </si>
  <si>
    <t>工程审计费总计</t>
  </si>
  <si>
    <t>预算金额（元）</t>
  </si>
  <si>
    <t>结算审计费（元）</t>
  </si>
  <si>
    <t>计费额（元）</t>
  </si>
  <si>
    <t>收费基价（元）</t>
  </si>
  <si>
    <t>计费区率</t>
  </si>
  <si>
    <t>公式计算建安费  的结算审计费（元）</t>
  </si>
  <si>
    <t>公式计算设计费的结算审计费（元）</t>
  </si>
  <si>
    <t>公式计算监理费结算审计（元）</t>
  </si>
  <si>
    <t>大于100000000</t>
  </si>
  <si>
    <t>说明：送审建安费、设计费、监理费在黄色区域做了连接不需在填写，工程审计费总费用自动生成在红色单元格。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</si>
</sst>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0.00_);[Red]\(0.00\)"/>
    <numFmt numFmtId="178" formatCode="0_ "/>
    <numFmt numFmtId="179" formatCode="0.0_ "/>
    <numFmt numFmtId="180" formatCode="0.00_ "/>
  </numFmts>
  <fonts count="52">
    <font>
      <sz val="11"/>
      <color theme="1"/>
      <name val="等线"/>
      <charset val="134"/>
      <scheme val="minor"/>
    </font>
    <font>
      <b/>
      <sz val="10"/>
      <name val="宋体"/>
      <charset val="134"/>
    </font>
    <font>
      <sz val="10"/>
      <name val="宋体"/>
      <charset val="134"/>
    </font>
    <font>
      <sz val="10"/>
      <color rgb="FFFF0000"/>
      <name val="宋体"/>
      <charset val="134"/>
    </font>
    <font>
      <sz val="10"/>
      <color theme="1"/>
      <name val="宋体"/>
      <charset val="134"/>
    </font>
    <font>
      <sz val="11"/>
      <color theme="1"/>
      <name val="Tahoma"/>
      <charset val="134"/>
    </font>
    <font>
      <sz val="10"/>
      <name val="Arial"/>
      <charset val="134"/>
    </font>
    <font>
      <b/>
      <sz val="9"/>
      <color indexed="10"/>
      <name val="宋体"/>
      <charset val="134"/>
    </font>
    <font>
      <b/>
      <i/>
      <sz val="9"/>
      <color rgb="FF0070C0"/>
      <name val="宋体"/>
      <charset val="134"/>
    </font>
    <font>
      <b/>
      <sz val="12"/>
      <color indexed="10"/>
      <name val="宋体"/>
      <charset val="134"/>
    </font>
    <font>
      <b/>
      <sz val="12"/>
      <color indexed="10"/>
      <name val="Arial"/>
      <charset val="134"/>
    </font>
    <font>
      <b/>
      <sz val="9"/>
      <name val="宋体"/>
      <charset val="134"/>
    </font>
    <font>
      <b/>
      <sz val="9"/>
      <name val="等线"/>
      <charset val="134"/>
      <scheme val="minor"/>
    </font>
    <font>
      <sz val="9"/>
      <name val="等线"/>
      <charset val="134"/>
      <scheme val="minor"/>
    </font>
    <font>
      <b/>
      <sz val="9"/>
      <name val="Arial"/>
      <charset val="134"/>
    </font>
    <font>
      <sz val="9"/>
      <name val="宋体"/>
      <charset val="134"/>
    </font>
    <font>
      <i/>
      <sz val="9"/>
      <color rgb="FF0070C0"/>
      <name val="宋体"/>
      <charset val="134"/>
    </font>
    <font>
      <b/>
      <sz val="9"/>
      <color theme="1"/>
      <name val="宋体"/>
      <charset val="134"/>
    </font>
    <font>
      <b/>
      <sz val="9"/>
      <color theme="1"/>
      <name val="等线"/>
      <charset val="134"/>
      <scheme val="minor"/>
    </font>
    <font>
      <sz val="9"/>
      <color theme="1"/>
      <name val="宋体"/>
      <charset val="134"/>
    </font>
    <font>
      <b/>
      <sz val="8"/>
      <name val="宋体"/>
      <charset val="134"/>
    </font>
    <font>
      <sz val="8"/>
      <name val="宋体"/>
      <charset val="134"/>
    </font>
    <font>
      <b/>
      <sz val="9"/>
      <color rgb="FFFF0000"/>
      <name val="宋体"/>
      <charset val="134"/>
    </font>
    <font>
      <sz val="11"/>
      <color theme="1"/>
      <name val="宋体"/>
      <charset val="134"/>
    </font>
    <font>
      <sz val="12"/>
      <name val="宋体"/>
      <charset val="134"/>
    </font>
    <font>
      <b/>
      <sz val="11"/>
      <color rgb="FFFF0000"/>
      <name val="宋体"/>
      <charset val="134"/>
    </font>
    <font>
      <b/>
      <sz val="11"/>
      <color rgb="FFFF0000"/>
      <name val="Tahom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Times New Roman"/>
      <charset val="134"/>
    </font>
    <font>
      <b/>
      <sz val="12"/>
      <name val="Arial"/>
      <charset val="134"/>
    </font>
    <font>
      <sz val="11"/>
      <color indexed="8"/>
      <name val="宋体"/>
      <charset val="134"/>
    </font>
    <font>
      <b/>
      <sz val="8"/>
      <color rgb="FFFF0000"/>
      <name val="宋体"/>
      <charset val="134"/>
    </font>
    <font>
      <b/>
      <sz val="8"/>
      <name val="Arial"/>
      <charset val="134"/>
    </font>
    <font>
      <b/>
      <sz val="8"/>
      <color rgb="FFFF0000"/>
      <name val="Arial"/>
      <charset val="134"/>
    </font>
  </fonts>
  <fills count="39">
    <fill>
      <patternFill patternType="none"/>
    </fill>
    <fill>
      <patternFill patternType="gray125"/>
    </fill>
    <fill>
      <patternFill patternType="solid">
        <fgColor rgb="FFFFFF00"/>
        <bgColor indexed="64"/>
      </patternFill>
    </fill>
    <fill>
      <patternFill patternType="solid">
        <fgColor indexed="9"/>
        <bgColor indexed="9"/>
      </patternFill>
    </fill>
    <fill>
      <patternFill patternType="solid">
        <fgColor indexed="40"/>
        <bgColor indexed="9"/>
      </patternFill>
    </fill>
    <fill>
      <patternFill patternType="solid">
        <fgColor theme="0" tint="-0.149876400036622"/>
        <bgColor indexed="64"/>
      </patternFill>
    </fill>
    <fill>
      <patternFill patternType="solid">
        <fgColor indexed="41"/>
        <bgColor indexed="64"/>
      </patternFill>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tted">
        <color indexed="8"/>
      </left>
      <right style="dotted">
        <color indexed="8"/>
      </right>
      <top style="thin">
        <color indexed="8"/>
      </top>
      <bottom style="thin">
        <color indexed="8"/>
      </bottom>
      <diagonal/>
    </border>
    <border>
      <left style="thin">
        <color indexed="8"/>
      </left>
      <right style="thin">
        <color indexed="8"/>
      </right>
      <top style="thin">
        <color indexed="8"/>
      </top>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8" borderId="18"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9" applyNumberFormat="0" applyFill="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4" fillId="0" borderId="0" applyNumberFormat="0" applyFill="0" applyBorder="0" applyAlignment="0" applyProtection="0">
      <alignment vertical="center"/>
    </xf>
    <xf numFmtId="0" fontId="35" fillId="9" borderId="21" applyNumberFormat="0" applyAlignment="0" applyProtection="0">
      <alignment vertical="center"/>
    </xf>
    <xf numFmtId="0" fontId="36" fillId="10" borderId="22" applyNumberFormat="0" applyAlignment="0" applyProtection="0">
      <alignment vertical="center"/>
    </xf>
    <xf numFmtId="0" fontId="37" fillId="10" borderId="21" applyNumberFormat="0" applyAlignment="0" applyProtection="0">
      <alignment vertical="center"/>
    </xf>
    <xf numFmtId="0" fontId="38" fillId="11" borderId="23" applyNumberFormat="0" applyAlignment="0" applyProtection="0">
      <alignment vertical="center"/>
    </xf>
    <xf numFmtId="0" fontId="39" fillId="0" borderId="24" applyNumberFormat="0" applyFill="0" applyAlignment="0" applyProtection="0">
      <alignment vertical="center"/>
    </xf>
    <xf numFmtId="0" fontId="40" fillId="0" borderId="25" applyNumberFormat="0" applyFill="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4" fillId="38" borderId="0" applyNumberFormat="0" applyBorder="0" applyAlignment="0" applyProtection="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6" fillId="0" borderId="0"/>
    <xf numFmtId="0" fontId="24" fillId="0" borderId="0"/>
    <xf numFmtId="0" fontId="24" fillId="0" borderId="0"/>
    <xf numFmtId="0" fontId="24" fillId="0" borderId="0"/>
    <xf numFmtId="0" fontId="24" fillId="0" borderId="0"/>
    <xf numFmtId="0" fontId="24" fillId="0" borderId="0"/>
    <xf numFmtId="0" fontId="14" fillId="0" borderId="26" applyNumberFormat="0" applyFont="0" applyFill="0" applyBorder="0" applyAlignment="0" applyProtection="0">
      <alignment horizontal="center" vertical="center" wrapText="1"/>
    </xf>
    <xf numFmtId="0" fontId="47" fillId="0" borderId="0" applyNumberFormat="0" applyFont="0" applyFill="0" applyBorder="0" applyAlignment="0" applyProtection="0">
      <alignment horizontal="left"/>
    </xf>
    <xf numFmtId="0" fontId="14" fillId="0" borderId="27" applyNumberFormat="0" applyFont="0" applyFill="0" applyBorder="0" applyAlignment="0" applyProtection="0">
      <alignment horizontal="left" vertical="center" wrapText="1"/>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xf numFmtId="9" fontId="24" fillId="0" borderId="0" applyFont="0" applyFill="0" applyBorder="0" applyAlignment="0" applyProtection="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xf numFmtId="0" fontId="24" fillId="0" borderId="0"/>
    <xf numFmtId="0" fontId="24" fillId="0" borderId="0"/>
    <xf numFmtId="0" fontId="24" fillId="0" borderId="0">
      <alignment vertical="center"/>
    </xf>
    <xf numFmtId="0" fontId="48" fillId="0" borderId="0"/>
    <xf numFmtId="0" fontId="0" fillId="0" borderId="0"/>
    <xf numFmtId="0" fontId="0" fillId="0" borderId="0"/>
    <xf numFmtId="0" fontId="24" fillId="0" borderId="0"/>
    <xf numFmtId="0" fontId="24" fillId="0" borderId="0"/>
    <xf numFmtId="0" fontId="48" fillId="0" borderId="0"/>
    <xf numFmtId="0" fontId="24" fillId="0" borderId="0"/>
    <xf numFmtId="0" fontId="24" fillId="0" borderId="0"/>
    <xf numFmtId="0" fontId="24" fillId="0" borderId="0"/>
    <xf numFmtId="0" fontId="24" fillId="0" borderId="0"/>
    <xf numFmtId="0" fontId="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0" fillId="0" borderId="0">
      <alignment vertical="center"/>
    </xf>
    <xf numFmtId="0" fontId="0" fillId="0" borderId="0">
      <alignment vertical="center"/>
    </xf>
    <xf numFmtId="0" fontId="24" fillId="0" borderId="0"/>
    <xf numFmtId="0" fontId="48" fillId="0" borderId="0">
      <alignment vertical="center"/>
    </xf>
    <xf numFmtId="0" fontId="5" fillId="0" borderId="0"/>
    <xf numFmtId="0" fontId="24" fillId="0" borderId="0">
      <alignment vertical="center"/>
    </xf>
    <xf numFmtId="0" fontId="24" fillId="0" borderId="0"/>
    <xf numFmtId="0" fontId="24" fillId="0" borderId="0">
      <alignment vertical="center"/>
    </xf>
    <xf numFmtId="0" fontId="0" fillId="0" borderId="0"/>
    <xf numFmtId="0" fontId="24" fillId="0" borderId="0"/>
    <xf numFmtId="0" fontId="0" fillId="0" borderId="0"/>
    <xf numFmtId="0" fontId="24" fillId="0" borderId="0"/>
    <xf numFmtId="0" fontId="48" fillId="0" borderId="0">
      <alignment vertical="center"/>
    </xf>
    <xf numFmtId="0" fontId="24" fillId="0" borderId="0"/>
    <xf numFmtId="0" fontId="24" fillId="0" borderId="0"/>
    <xf numFmtId="0" fontId="48" fillId="0" borderId="0">
      <alignment vertical="center"/>
    </xf>
    <xf numFmtId="0" fontId="48" fillId="0" borderId="0">
      <alignment vertical="center"/>
    </xf>
    <xf numFmtId="0" fontId="24" fillId="0" borderId="0"/>
    <xf numFmtId="0" fontId="24" fillId="0" borderId="0"/>
    <xf numFmtId="0" fontId="48" fillId="0" borderId="0">
      <alignment vertical="center"/>
    </xf>
    <xf numFmtId="0" fontId="0" fillId="0" borderId="0">
      <alignment vertical="center"/>
    </xf>
    <xf numFmtId="0" fontId="24" fillId="0" borderId="0"/>
    <xf numFmtId="0" fontId="24" fillId="0" borderId="0"/>
    <xf numFmtId="0" fontId="48" fillId="0" borderId="0">
      <alignment vertical="center"/>
    </xf>
    <xf numFmtId="0" fontId="6" fillId="0" borderId="0"/>
    <xf numFmtId="0" fontId="48" fillId="0" borderId="0">
      <alignment vertical="center"/>
    </xf>
    <xf numFmtId="0" fontId="24" fillId="0" borderId="0"/>
    <xf numFmtId="0" fontId="24" fillId="0" borderId="0"/>
    <xf numFmtId="0" fontId="24" fillId="0" borderId="0">
      <alignment vertical="center"/>
    </xf>
    <xf numFmtId="0" fontId="48" fillId="0" borderId="0">
      <alignment vertical="center"/>
    </xf>
    <xf numFmtId="0" fontId="24" fillId="0" borderId="0"/>
    <xf numFmtId="0" fontId="48" fillId="0" borderId="0">
      <alignment vertical="center"/>
    </xf>
    <xf numFmtId="0" fontId="24" fillId="0" borderId="0"/>
    <xf numFmtId="0" fontId="24" fillId="0" borderId="0"/>
    <xf numFmtId="0" fontId="48" fillId="0" borderId="0">
      <alignment vertical="center"/>
    </xf>
    <xf numFmtId="43" fontId="0"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0" fillId="0" borderId="0" applyFont="0" applyFill="0" applyBorder="0" applyAlignment="0" applyProtection="0">
      <alignment vertical="center"/>
    </xf>
    <xf numFmtId="43" fontId="24" fillId="0" borderId="0" applyFon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xf numFmtId="176" fontId="6" fillId="0" borderId="0" applyFont="0" applyFill="0" applyBorder="0" applyAlignment="0" applyProtection="0"/>
    <xf numFmtId="0" fontId="46" fillId="0" borderId="0"/>
  </cellStyleXfs>
  <cellXfs count="109">
    <xf numFmtId="0" fontId="0" fillId="0" borderId="0" xfId="0">
      <alignment vertical="center"/>
    </xf>
    <xf numFmtId="0" fontId="1" fillId="0" borderId="0" xfId="92" applyFont="1" applyAlignment="1">
      <alignment horizontal="center" vertical="center" wrapText="1"/>
    </xf>
    <xf numFmtId="0" fontId="2" fillId="0" borderId="0" xfId="92" applyFont="1" applyAlignment="1">
      <alignment horizontal="center" vertical="center" wrapText="1"/>
    </xf>
    <xf numFmtId="0" fontId="3" fillId="0" borderId="1" xfId="92" applyFont="1" applyBorder="1" applyAlignment="1">
      <alignment horizontal="center" vertical="center"/>
    </xf>
    <xf numFmtId="0" fontId="1" fillId="0" borderId="1" xfId="92" applyFont="1" applyBorder="1" applyAlignment="1">
      <alignment horizontal="center" vertical="center" wrapText="1"/>
    </xf>
    <xf numFmtId="0" fontId="2" fillId="0" borderId="1" xfId="92" applyFont="1" applyBorder="1" applyAlignment="1">
      <alignment horizontal="center" vertical="center" wrapText="1"/>
    </xf>
    <xf numFmtId="177" fontId="2" fillId="0" borderId="1" xfId="92" applyNumberFormat="1" applyFont="1" applyBorder="1" applyAlignment="1">
      <alignment horizontal="center" vertical="center" wrapText="1"/>
    </xf>
    <xf numFmtId="177" fontId="4" fillId="0" borderId="1" xfId="92" applyNumberFormat="1" applyFont="1" applyBorder="1" applyAlignment="1">
      <alignment horizontal="center" vertical="center" wrapText="1"/>
    </xf>
    <xf numFmtId="10" fontId="4" fillId="0" borderId="1" xfId="68" applyNumberFormat="1" applyFont="1" applyFill="1" applyBorder="1" applyAlignment="1">
      <alignment horizontal="center" vertical="center" wrapText="1"/>
    </xf>
    <xf numFmtId="178" fontId="2" fillId="0" borderId="1" xfId="92" applyNumberFormat="1" applyFont="1" applyBorder="1" applyAlignment="1">
      <alignment horizontal="center" vertical="center" wrapText="1"/>
    </xf>
    <xf numFmtId="0" fontId="2" fillId="2" borderId="0" xfId="92" applyFont="1" applyFill="1" applyAlignment="1">
      <alignment horizontal="left" vertical="center"/>
    </xf>
    <xf numFmtId="0" fontId="2" fillId="2" borderId="0" xfId="92" applyFont="1" applyFill="1" applyAlignment="1">
      <alignment horizontal="center" vertical="center" wrapText="1"/>
    </xf>
    <xf numFmtId="0" fontId="2" fillId="0" borderId="0" xfId="92" applyFont="1" applyAlignment="1">
      <alignment horizontal="center" vertical="center"/>
    </xf>
    <xf numFmtId="0" fontId="0" fillId="0" borderId="0" xfId="92" applyFont="1" applyAlignment="1">
      <alignment vertical="center"/>
    </xf>
    <xf numFmtId="0" fontId="2" fillId="0" borderId="0" xfId="92" applyFont="1" applyAlignment="1">
      <alignment vertical="center"/>
    </xf>
    <xf numFmtId="0" fontId="5" fillId="0" borderId="0" xfId="92" applyAlignment="1">
      <alignment vertical="center"/>
    </xf>
    <xf numFmtId="0" fontId="5" fillId="0" borderId="0" xfId="92" applyAlignment="1">
      <alignment horizontal="center" vertical="center"/>
    </xf>
    <xf numFmtId="9" fontId="5" fillId="0" borderId="0" xfId="92" applyNumberFormat="1" applyAlignment="1">
      <alignment vertical="center"/>
    </xf>
    <xf numFmtId="177" fontId="5" fillId="0" borderId="0" xfId="92" applyNumberFormat="1" applyAlignment="1">
      <alignment vertical="center"/>
    </xf>
    <xf numFmtId="0" fontId="6" fillId="0" borderId="0" xfId="92" applyFont="1" applyAlignment="1">
      <alignment vertical="center"/>
    </xf>
    <xf numFmtId="0" fontId="5" fillId="0" borderId="2" xfId="92" applyBorder="1" applyAlignment="1">
      <alignment horizontal="center" vertical="center"/>
    </xf>
    <xf numFmtId="49" fontId="1" fillId="0" borderId="3" xfId="122" applyNumberFormat="1" applyFont="1" applyBorder="1" applyAlignment="1">
      <alignment horizontal="center" vertical="center"/>
    </xf>
    <xf numFmtId="0" fontId="5" fillId="0" borderId="3" xfId="92" applyBorder="1" applyAlignment="1">
      <alignment horizontal="center" vertical="center"/>
    </xf>
    <xf numFmtId="49" fontId="7" fillId="0" borderId="4" xfId="122" applyNumberFormat="1" applyFont="1" applyBorder="1" applyAlignment="1">
      <alignment horizontal="center" vertical="center"/>
    </xf>
    <xf numFmtId="49" fontId="8" fillId="0" borderId="4" xfId="122" applyNumberFormat="1" applyFont="1" applyBorder="1" applyAlignment="1">
      <alignment horizontal="center" vertical="center"/>
    </xf>
    <xf numFmtId="0" fontId="9" fillId="3" borderId="5" xfId="66" applyNumberFormat="1" applyFont="1" applyFill="1" applyBorder="1" applyAlignment="1">
      <alignment horizontal="left" vertical="center" wrapText="1"/>
    </xf>
    <xf numFmtId="0" fontId="10" fillId="3" borderId="1" xfId="66" applyNumberFormat="1" applyFont="1" applyFill="1" applyBorder="1" applyAlignment="1">
      <alignment horizontal="left" vertical="center" wrapText="1"/>
    </xf>
    <xf numFmtId="9" fontId="10" fillId="3" borderId="6" xfId="66" applyNumberFormat="1" applyFont="1" applyFill="1" applyBorder="1" applyAlignment="1">
      <alignment horizontal="left" vertical="center"/>
    </xf>
    <xf numFmtId="177" fontId="10" fillId="3" borderId="6" xfId="66" applyNumberFormat="1" applyFont="1" applyFill="1" applyBorder="1" applyAlignment="1">
      <alignment horizontal="left" vertical="center"/>
    </xf>
    <xf numFmtId="49" fontId="2" fillId="0" borderId="7" xfId="122" applyNumberFormat="1" applyFont="1" applyBorder="1" applyAlignment="1">
      <alignment horizontal="left" vertical="center"/>
    </xf>
    <xf numFmtId="0" fontId="1" fillId="4" borderId="5" xfId="65" applyNumberFormat="1" applyFont="1" applyFill="1" applyBorder="1" applyAlignment="1">
      <alignment horizontal="center" vertical="center" wrapText="1"/>
    </xf>
    <xf numFmtId="0" fontId="1" fillId="4" borderId="1" xfId="65" applyNumberFormat="1" applyFont="1" applyFill="1" applyBorder="1" applyAlignment="1">
      <alignment horizontal="center" vertical="center" wrapText="1"/>
    </xf>
    <xf numFmtId="0" fontId="11" fillId="4" borderId="1" xfId="65" applyNumberFormat="1" applyFont="1" applyFill="1" applyBorder="1" applyAlignment="1">
      <alignment horizontal="center" vertical="center" wrapText="1"/>
    </xf>
    <xf numFmtId="9" fontId="1" fillId="4" borderId="6" xfId="65" applyNumberFormat="1" applyFont="1" applyFill="1" applyBorder="1" applyAlignment="1">
      <alignment horizontal="center" vertical="center" wrapText="1"/>
    </xf>
    <xf numFmtId="177" fontId="1" fillId="4" borderId="6" xfId="65" applyNumberFormat="1" applyFont="1" applyFill="1" applyBorder="1" applyAlignment="1">
      <alignment horizontal="center" vertical="center" wrapText="1"/>
    </xf>
    <xf numFmtId="0" fontId="1" fillId="4" borderId="7" xfId="65" applyNumberFormat="1" applyFont="1" applyFill="1" applyBorder="1" applyAlignment="1">
      <alignment horizontal="center" vertical="center" wrapText="1"/>
    </xf>
    <xf numFmtId="0" fontId="11" fillId="5" borderId="5" xfId="65" applyNumberFormat="1" applyFont="1" applyFill="1" applyBorder="1" applyAlignment="1">
      <alignment horizontal="center" vertical="center" wrapText="1"/>
    </xf>
    <xf numFmtId="0" fontId="11" fillId="5" borderId="6" xfId="65" applyNumberFormat="1" applyFont="1" applyFill="1" applyBorder="1" applyAlignment="1">
      <alignment horizontal="left" vertical="center" wrapText="1"/>
    </xf>
    <xf numFmtId="0" fontId="11" fillId="5" borderId="8" xfId="65" applyNumberFormat="1" applyFont="1" applyFill="1" applyBorder="1" applyAlignment="1">
      <alignment horizontal="left" vertical="center" wrapText="1"/>
    </xf>
    <xf numFmtId="0" fontId="11" fillId="5" borderId="9" xfId="65" applyNumberFormat="1" applyFont="1" applyFill="1" applyBorder="1" applyAlignment="1">
      <alignment vertical="center" wrapText="1"/>
    </xf>
    <xf numFmtId="179" fontId="11" fillId="0" borderId="5" xfId="65" applyNumberFormat="1" applyFont="1" applyFill="1" applyBorder="1" applyAlignment="1">
      <alignment horizontal="center" vertical="center" wrapText="1"/>
    </xf>
    <xf numFmtId="0" fontId="11" fillId="0" borderId="1" xfId="65" applyNumberFormat="1" applyFont="1" applyFill="1" applyBorder="1" applyAlignment="1">
      <alignment horizontal="center" vertical="center" wrapText="1"/>
    </xf>
    <xf numFmtId="177" fontId="12" fillId="0" borderId="1" xfId="67" applyNumberFormat="1" applyFont="1" applyFill="1" applyBorder="1" applyAlignment="1">
      <alignment horizontal="center" vertical="center" wrapText="1"/>
    </xf>
    <xf numFmtId="9" fontId="12" fillId="0" borderId="6" xfId="67" applyNumberFormat="1" applyFont="1" applyFill="1" applyBorder="1" applyAlignment="1">
      <alignment horizontal="center" vertical="center" wrapText="1"/>
    </xf>
    <xf numFmtId="177" fontId="12" fillId="2" borderId="6" xfId="67" applyNumberFormat="1" applyFont="1" applyFill="1" applyBorder="1" applyAlignment="1">
      <alignment horizontal="center" vertical="center" wrapText="1"/>
    </xf>
    <xf numFmtId="0" fontId="13" fillId="0" borderId="7" xfId="129" applyFont="1" applyBorder="1">
      <alignment vertical="center"/>
    </xf>
    <xf numFmtId="0" fontId="14" fillId="6" borderId="5" xfId="65" applyNumberFormat="1" applyFont="1" applyFill="1" applyBorder="1" applyAlignment="1">
      <alignment horizontal="center" vertical="center" wrapText="1"/>
    </xf>
    <xf numFmtId="0" fontId="14" fillId="6" borderId="1" xfId="65" applyNumberFormat="1" applyFont="1" applyFill="1" applyBorder="1" applyAlignment="1">
      <alignment horizontal="center" vertical="center" wrapText="1"/>
    </xf>
    <xf numFmtId="177" fontId="11" fillId="6" borderId="1" xfId="65" applyNumberFormat="1" applyFont="1" applyFill="1" applyBorder="1" applyAlignment="1">
      <alignment horizontal="center" vertical="center" wrapText="1"/>
    </xf>
    <xf numFmtId="9" fontId="11" fillId="6" borderId="6" xfId="65" applyNumberFormat="1" applyFont="1" applyFill="1" applyBorder="1" applyAlignment="1">
      <alignment horizontal="center" vertical="center" wrapText="1"/>
    </xf>
    <xf numFmtId="177" fontId="11" fillId="6" borderId="6" xfId="65" applyNumberFormat="1" applyFont="1" applyFill="1" applyBorder="1" applyAlignment="1">
      <alignment horizontal="center" vertical="center" wrapText="1"/>
    </xf>
    <xf numFmtId="0" fontId="15" fillId="6" borderId="7" xfId="65" applyNumberFormat="1" applyFont="1" applyFill="1" applyBorder="1" applyAlignment="1">
      <alignment horizontal="left" vertical="center" wrapText="1"/>
    </xf>
    <xf numFmtId="0" fontId="14" fillId="0" borderId="10" xfId="65" applyNumberFormat="1" applyFont="1" applyFill="1" applyBorder="1" applyAlignment="1">
      <alignment horizontal="center" vertical="center" wrapText="1"/>
    </xf>
    <xf numFmtId="0" fontId="14" fillId="0" borderId="8" xfId="65" applyNumberFormat="1" applyFont="1" applyFill="1" applyBorder="1" applyAlignment="1">
      <alignment horizontal="center" vertical="center" wrapText="1"/>
    </xf>
    <xf numFmtId="0" fontId="14" fillId="0" borderId="9" xfId="65" applyNumberFormat="1" applyFont="1" applyFill="1" applyBorder="1" applyAlignment="1">
      <alignment horizontal="center" vertical="center" wrapText="1"/>
    </xf>
    <xf numFmtId="0" fontId="14" fillId="5" borderId="10" xfId="65" applyNumberFormat="1" applyFont="1" applyFill="1" applyBorder="1" applyAlignment="1">
      <alignment horizontal="center" vertical="center" wrapText="1"/>
    </xf>
    <xf numFmtId="0" fontId="16" fillId="5" borderId="7" xfId="65" applyNumberFormat="1" applyFont="1" applyFill="1" applyBorder="1" applyAlignment="1">
      <alignment horizontal="center" vertical="center" wrapText="1"/>
    </xf>
    <xf numFmtId="0" fontId="17" fillId="0" borderId="11" xfId="65" applyNumberFormat="1" applyFont="1" applyFill="1" applyBorder="1" applyAlignment="1">
      <alignment horizontal="center" vertical="center" wrapText="1"/>
    </xf>
    <xf numFmtId="0" fontId="17" fillId="0" borderId="1" xfId="65" applyNumberFormat="1" applyFont="1" applyFill="1" applyBorder="1" applyAlignment="1">
      <alignment horizontal="center" vertical="center" wrapText="1"/>
    </xf>
    <xf numFmtId="9" fontId="17" fillId="0" borderId="6" xfId="65" applyNumberFormat="1" applyFont="1" applyFill="1" applyBorder="1" applyAlignment="1">
      <alignment horizontal="center" vertical="center" wrapText="1"/>
    </xf>
    <xf numFmtId="177" fontId="18" fillId="2" borderId="6" xfId="67" applyNumberFormat="1" applyFont="1" applyFill="1" applyBorder="1" applyAlignment="1">
      <alignment horizontal="center" vertical="center" wrapText="1"/>
    </xf>
    <xf numFmtId="0" fontId="19" fillId="0" borderId="7" xfId="65" applyNumberFormat="1" applyFont="1" applyFill="1" applyBorder="1" applyAlignment="1">
      <alignment horizontal="left" vertical="center" wrapText="1"/>
    </xf>
    <xf numFmtId="0" fontId="0" fillId="0" borderId="0" xfId="92" applyFont="1" applyAlignment="1">
      <alignment horizontal="center" vertical="center"/>
    </xf>
    <xf numFmtId="0" fontId="11" fillId="0" borderId="12" xfId="65" applyNumberFormat="1" applyFont="1" applyFill="1" applyBorder="1" applyAlignment="1">
      <alignment horizontal="center" vertical="center" wrapText="1"/>
    </xf>
    <xf numFmtId="9" fontId="11" fillId="0" borderId="6" xfId="65" applyNumberFormat="1" applyFont="1" applyFill="1" applyBorder="1" applyAlignment="1">
      <alignment horizontal="center" vertical="center" wrapText="1"/>
    </xf>
    <xf numFmtId="0" fontId="15" fillId="0" borderId="7" xfId="65" applyNumberFormat="1" applyFont="1" applyFill="1" applyBorder="1" applyAlignment="1">
      <alignment horizontal="left" vertical="center" wrapText="1"/>
    </xf>
    <xf numFmtId="0" fontId="11" fillId="6" borderId="1" xfId="65" applyNumberFormat="1" applyFont="1" applyFill="1" applyBorder="1" applyAlignment="1">
      <alignment horizontal="center" vertical="center" wrapText="1"/>
    </xf>
    <xf numFmtId="0" fontId="7" fillId="6" borderId="7" xfId="65" applyNumberFormat="1" applyFont="1" applyFill="1" applyBorder="1" applyAlignment="1">
      <alignment horizontal="left" vertical="center" wrapText="1"/>
    </xf>
    <xf numFmtId="0" fontId="11" fillId="5" borderId="13" xfId="65" applyNumberFormat="1" applyFont="1" applyFill="1" applyBorder="1" applyAlignment="1">
      <alignment horizontal="left" vertical="center" wrapText="1"/>
    </xf>
    <xf numFmtId="0" fontId="11" fillId="0" borderId="5" xfId="65" applyNumberFormat="1" applyFont="1" applyFill="1" applyBorder="1" applyAlignment="1">
      <alignment horizontal="center" vertical="center" wrapText="1"/>
    </xf>
    <xf numFmtId="177" fontId="11" fillId="0" borderId="1" xfId="65" applyNumberFormat="1" applyFont="1" applyFill="1" applyBorder="1" applyAlignment="1">
      <alignment horizontal="center" vertical="center" wrapText="1"/>
    </xf>
    <xf numFmtId="177" fontId="12" fillId="0" borderId="6" xfId="67" applyNumberFormat="1" applyFont="1" applyFill="1" applyBorder="1" applyAlignment="1">
      <alignment horizontal="center" vertical="center" wrapText="1"/>
    </xf>
    <xf numFmtId="0" fontId="20" fillId="0" borderId="6" xfId="65" applyNumberFormat="1" applyFont="1" applyFill="1" applyBorder="1" applyAlignment="1">
      <alignment horizontal="left" vertical="center" wrapText="1"/>
    </xf>
    <xf numFmtId="0" fontId="4" fillId="0" borderId="1" xfId="92" applyFont="1" applyBorder="1" applyAlignment="1">
      <alignment horizontal="center" vertical="center" wrapText="1"/>
    </xf>
    <xf numFmtId="0" fontId="21" fillId="0" borderId="6" xfId="65" applyNumberFormat="1" applyFont="1" applyFill="1" applyBorder="1" applyAlignment="1">
      <alignment horizontal="left" vertical="center" wrapText="1"/>
    </xf>
    <xf numFmtId="0" fontId="4" fillId="0" borderId="1" xfId="92" applyFont="1" applyBorder="1" applyAlignment="1">
      <alignment horizontal="left" vertical="center"/>
    </xf>
    <xf numFmtId="0" fontId="20" fillId="0" borderId="7" xfId="65" applyNumberFormat="1" applyFont="1" applyFill="1" applyBorder="1" applyAlignment="1">
      <alignment horizontal="left" vertical="center" wrapText="1"/>
    </xf>
    <xf numFmtId="0" fontId="21" fillId="0" borderId="7" xfId="65" applyNumberFormat="1" applyFont="1" applyFill="1" applyBorder="1" applyAlignment="1">
      <alignment horizontal="left" vertical="center" wrapText="1"/>
    </xf>
    <xf numFmtId="0" fontId="22" fillId="0" borderId="0" xfId="92" applyFont="1" applyAlignment="1">
      <alignment horizontal="center" vertical="center" wrapText="1"/>
    </xf>
    <xf numFmtId="0" fontId="19" fillId="0" borderId="0" xfId="92" applyFont="1" applyAlignment="1">
      <alignment horizontal="center" vertical="center"/>
    </xf>
    <xf numFmtId="0" fontId="11" fillId="6" borderId="11" xfId="65" applyNumberFormat="1" applyFont="1" applyFill="1" applyBorder="1" applyAlignment="1">
      <alignment horizontal="center" vertical="center" wrapText="1"/>
    </xf>
    <xf numFmtId="0" fontId="11" fillId="6" borderId="7" xfId="65" applyNumberFormat="1" applyFont="1" applyFill="1" applyBorder="1" applyAlignment="1">
      <alignment horizontal="left" vertical="center" wrapText="1"/>
    </xf>
    <xf numFmtId="177" fontId="11" fillId="0" borderId="6" xfId="65" applyNumberFormat="1" applyFont="1" applyFill="1" applyBorder="1" applyAlignment="1">
      <alignment horizontal="center" vertical="center" wrapText="1"/>
    </xf>
    <xf numFmtId="0" fontId="11" fillId="6" borderId="1" xfId="65" applyNumberFormat="1" applyFont="1" applyFill="1" applyBorder="1" applyAlignment="1">
      <alignment horizontal="left" vertical="center" wrapText="1"/>
    </xf>
    <xf numFmtId="0" fontId="23" fillId="2" borderId="0" xfId="92" applyFont="1" applyFill="1" applyAlignment="1">
      <alignment horizontal="center" vertical="center"/>
    </xf>
    <xf numFmtId="0" fontId="11" fillId="6" borderId="5" xfId="65" applyNumberFormat="1" applyFont="1" applyFill="1" applyBorder="1" applyAlignment="1">
      <alignment horizontal="center" vertical="center" wrapText="1"/>
    </xf>
    <xf numFmtId="9" fontId="11" fillId="6" borderId="1" xfId="65" applyNumberFormat="1" applyFont="1" applyFill="1" applyBorder="1" applyAlignment="1">
      <alignment horizontal="center" vertical="center" wrapText="1"/>
    </xf>
    <xf numFmtId="0" fontId="14" fillId="0" borderId="14" xfId="65" applyNumberFormat="1" applyFont="1" applyFill="1" applyBorder="1" applyAlignment="1">
      <alignment horizontal="center" vertical="center" wrapText="1"/>
    </xf>
    <xf numFmtId="0" fontId="11" fillId="7" borderId="5" xfId="65" applyNumberFormat="1" applyFont="1" applyFill="1" applyBorder="1" applyAlignment="1">
      <alignment horizontal="center" vertical="center" wrapText="1"/>
    </xf>
    <xf numFmtId="0" fontId="11" fillId="7" borderId="1" xfId="65" applyNumberFormat="1" applyFont="1" applyFill="1" applyBorder="1" applyAlignment="1">
      <alignment horizontal="center" vertical="center" wrapText="1"/>
    </xf>
    <xf numFmtId="177" fontId="11" fillId="7" borderId="6" xfId="65" applyNumberFormat="1" applyFont="1" applyFill="1" applyBorder="1" applyAlignment="1">
      <alignment horizontal="center" vertical="center" wrapText="1"/>
    </xf>
    <xf numFmtId="9" fontId="11" fillId="7" borderId="6" xfId="65" applyNumberFormat="1" applyFont="1" applyFill="1" applyBorder="1" applyAlignment="1">
      <alignment horizontal="center" vertical="center" wrapText="1"/>
    </xf>
    <xf numFmtId="0" fontId="11" fillId="7" borderId="7" xfId="65" applyNumberFormat="1" applyFont="1" applyFill="1" applyBorder="1" applyAlignment="1">
      <alignment horizontal="left" vertical="center" wrapText="1"/>
    </xf>
    <xf numFmtId="0" fontId="11" fillId="7" borderId="11" xfId="65" applyNumberFormat="1" applyFont="1" applyFill="1" applyBorder="1" applyAlignment="1">
      <alignment horizontal="center" vertical="center" wrapText="1"/>
    </xf>
    <xf numFmtId="0" fontId="11" fillId="7" borderId="15" xfId="65" applyNumberFormat="1" applyFont="1" applyFill="1" applyBorder="1" applyAlignment="1">
      <alignment horizontal="center" vertical="center" wrapText="1"/>
    </xf>
    <xf numFmtId="180" fontId="11" fillId="7" borderId="15" xfId="65" applyNumberFormat="1" applyFont="1" applyFill="1" applyBorder="1" applyAlignment="1">
      <alignment horizontal="center" vertical="center" wrapText="1"/>
    </xf>
    <xf numFmtId="9" fontId="11" fillId="7" borderId="16" xfId="65" applyNumberFormat="1" applyFont="1" applyFill="1" applyBorder="1" applyAlignment="1">
      <alignment horizontal="center" vertical="center" wrapText="1"/>
    </xf>
    <xf numFmtId="177" fontId="11" fillId="7" borderId="16" xfId="65" applyNumberFormat="1" applyFont="1" applyFill="1" applyBorder="1" applyAlignment="1">
      <alignment horizontal="center" vertical="center" wrapText="1"/>
    </xf>
    <xf numFmtId="0" fontId="15" fillId="7" borderId="17" xfId="65" applyNumberFormat="1" applyFont="1" applyFill="1" applyBorder="1" applyAlignment="1">
      <alignment horizontal="center" vertical="center" wrapText="1"/>
    </xf>
    <xf numFmtId="0" fontId="17" fillId="7" borderId="0" xfId="65" applyNumberFormat="1" applyFont="1" applyFill="1" applyBorder="1" applyAlignment="1">
      <alignment horizontal="center" vertical="center" wrapText="1"/>
    </xf>
    <xf numFmtId="0" fontId="11" fillId="7" borderId="0" xfId="65" applyNumberFormat="1" applyFont="1" applyFill="1" applyBorder="1" applyAlignment="1">
      <alignment horizontal="center" vertical="center" wrapText="1"/>
    </xf>
    <xf numFmtId="0" fontId="15" fillId="7" borderId="0" xfId="65" applyNumberFormat="1" applyFont="1" applyFill="1" applyBorder="1" applyAlignment="1">
      <alignment horizontal="center" vertical="center" wrapText="1"/>
    </xf>
    <xf numFmtId="0" fontId="0" fillId="0" borderId="0" xfId="98" applyAlignment="1">
      <alignment vertical="center"/>
    </xf>
    <xf numFmtId="177" fontId="0" fillId="0" borderId="0" xfId="98" applyNumberFormat="1" applyAlignment="1">
      <alignment vertical="center"/>
    </xf>
    <xf numFmtId="0" fontId="24" fillId="0" borderId="0" xfId="122" applyAlignment="1">
      <alignment horizontal="left" vertical="center"/>
    </xf>
    <xf numFmtId="0" fontId="25" fillId="0" borderId="0" xfId="92" applyFont="1" applyAlignment="1">
      <alignment vertical="center"/>
    </xf>
    <xf numFmtId="0" fontId="26" fillId="0" borderId="0" xfId="92" applyFont="1" applyAlignment="1">
      <alignment vertical="center"/>
    </xf>
    <xf numFmtId="9" fontId="26" fillId="0" borderId="0" xfId="92" applyNumberFormat="1" applyFont="1" applyAlignment="1">
      <alignment vertical="center"/>
    </xf>
    <xf numFmtId="0" fontId="19" fillId="0" borderId="0" xfId="92" applyFont="1" applyAlignment="1">
      <alignment vertical="center"/>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a__x000a_NA_x000a__x000a_ 2" xfId="49"/>
    <cellStyle name="0,0_x000a__x000a_NA_x000a__x000a_ 2 2" xfId="50"/>
    <cellStyle name="0,0_x000a__x000a_NA_x000a__x000a_ 2 3" xfId="51"/>
    <cellStyle name="0,0_x000a__x000a_NA_x000a__x000a_ 2 4" xfId="52"/>
    <cellStyle name="0,0_x000d__x000a_NA_x000d__x000a_" xfId="53"/>
    <cellStyle name="0,0_x000d__x000a_NA_x000d__x000a_ 2" xfId="54"/>
    <cellStyle name="0,0_x000d__x000a_NA_x000d__x000a_ 2 2" xfId="55"/>
    <cellStyle name="0,0_x000d__x000a_NA_x000d__x000a_ 2 3" xfId="56"/>
    <cellStyle name="0,0_x000d__x000a_NA_x000d__x000a_ 3" xfId="57"/>
    <cellStyle name="0,0_x000d__x000a_NA_x000d__x000a_ 4" xfId="58"/>
    <cellStyle name="0,0_x000d__x000a_NA_x000d__x000a_ 5" xfId="59"/>
    <cellStyle name="0,0_x000d__x000d_NA_x000d__x000d_" xfId="60"/>
    <cellStyle name="Normal 5" xfId="61"/>
    <cellStyle name="Normal 5 2" xfId="62"/>
    <cellStyle name="Normal 5 3" xfId="63"/>
    <cellStyle name="Normal 5 4" xfId="64"/>
    <cellStyle name="ST_05" xfId="65"/>
    <cellStyle name="ST_07" xfId="66"/>
    <cellStyle name="ST_13" xfId="67"/>
    <cellStyle name="百分比 2" xfId="68"/>
    <cellStyle name="百分比 2 2" xfId="69"/>
    <cellStyle name="百分比 2 3" xfId="70"/>
    <cellStyle name="百分比 2 4" xfId="71"/>
    <cellStyle name="百分比 2 5" xfId="72"/>
    <cellStyle name="百分比 4" xfId="73"/>
    <cellStyle name="常规 10" xfId="74"/>
    <cellStyle name="常规 10 2" xfId="75"/>
    <cellStyle name="常规 100" xfId="76"/>
    <cellStyle name="常规 11" xfId="77"/>
    <cellStyle name="常规 11 2" xfId="78"/>
    <cellStyle name="常规 12" xfId="79"/>
    <cellStyle name="常规 12 11" xfId="80"/>
    <cellStyle name="常规 12 2" xfId="81"/>
    <cellStyle name="常规 13" xfId="82"/>
    <cellStyle name="常规 13 2" xfId="83"/>
    <cellStyle name="常规 14" xfId="84"/>
    <cellStyle name="常规 14 2" xfId="85"/>
    <cellStyle name="常规 15" xfId="86"/>
    <cellStyle name="常规 16" xfId="87"/>
    <cellStyle name="常规 17" xfId="88"/>
    <cellStyle name="常规 18" xfId="89"/>
    <cellStyle name="常规 19" xfId="90"/>
    <cellStyle name="常规 19 2" xfId="91"/>
    <cellStyle name="常规 2" xfId="92"/>
    <cellStyle name="常规 2 10" xfId="93"/>
    <cellStyle name="常规 2 10 2" xfId="94"/>
    <cellStyle name="常规 2 11" xfId="95"/>
    <cellStyle name="常规 2 11 2" xfId="96"/>
    <cellStyle name="常规 2 12" xfId="97"/>
    <cellStyle name="常规 2 2" xfId="98"/>
    <cellStyle name="常规 2 2 2" xfId="99"/>
    <cellStyle name="常规 2 2 3" xfId="100"/>
    <cellStyle name="常规 2 2 4" xfId="101"/>
    <cellStyle name="常规 2 3" xfId="102"/>
    <cellStyle name="常规 2 3 2" xfId="103"/>
    <cellStyle name="常规 2 4" xfId="104"/>
    <cellStyle name="常规 2 4 2" xfId="105"/>
    <cellStyle name="常规 2 4 3" xfId="106"/>
    <cellStyle name="常规 2 5" xfId="107"/>
    <cellStyle name="常规 2 5 2" xfId="108"/>
    <cellStyle name="常规 2 6" xfId="109"/>
    <cellStyle name="常规 2 6 2" xfId="110"/>
    <cellStyle name="常规 2 7" xfId="111"/>
    <cellStyle name="常规 2 8" xfId="112"/>
    <cellStyle name="常规 2 9" xfId="113"/>
    <cellStyle name="常规 20" xfId="114"/>
    <cellStyle name="常规 21" xfId="115"/>
    <cellStyle name="常规 22" xfId="116"/>
    <cellStyle name="常规 23" xfId="117"/>
    <cellStyle name="常规 23 2" xfId="118"/>
    <cellStyle name="常规 24" xfId="119"/>
    <cellStyle name="常规 24 2" xfId="120"/>
    <cellStyle name="常规 25" xfId="121"/>
    <cellStyle name="常规 3" xfId="122"/>
    <cellStyle name="常规 3 2" xfId="123"/>
    <cellStyle name="常规 3 2 2" xfId="124"/>
    <cellStyle name="常规 3 2 3" xfId="125"/>
    <cellStyle name="常规 3 3" xfId="126"/>
    <cellStyle name="常规 3 3 2" xfId="127"/>
    <cellStyle name="常规 3 4" xfId="128"/>
    <cellStyle name="常规 3_智慧城管成本预算v7" xfId="129"/>
    <cellStyle name="常规 4" xfId="130"/>
    <cellStyle name="常规 4 2" xfId="131"/>
    <cellStyle name="常规 4 2 2" xfId="132"/>
    <cellStyle name="常规 4 3" xfId="133"/>
    <cellStyle name="常规 5" xfId="134"/>
    <cellStyle name="常规 5 2" xfId="135"/>
    <cellStyle name="常规 5 3" xfId="136"/>
    <cellStyle name="常规 5 4" xfId="137"/>
    <cellStyle name="常规 6" xfId="138"/>
    <cellStyle name="常规 6 2" xfId="139"/>
    <cellStyle name="常规 6 3" xfId="140"/>
    <cellStyle name="常规 6 4" xfId="141"/>
    <cellStyle name="常规 67" xfId="142"/>
    <cellStyle name="常规 7" xfId="143"/>
    <cellStyle name="常规 7 2" xfId="144"/>
    <cellStyle name="常规 7 3" xfId="145"/>
    <cellStyle name="常规 7 3 2" xfId="146"/>
    <cellStyle name="常规 8" xfId="147"/>
    <cellStyle name="常规 8 2" xfId="148"/>
    <cellStyle name="常规 9" xfId="149"/>
    <cellStyle name="常规 9 2" xfId="150"/>
    <cellStyle name="常规 9 3" xfId="151"/>
    <cellStyle name="千位分隔 2" xfId="152"/>
    <cellStyle name="千位分隔 2 2" xfId="153"/>
    <cellStyle name="千位分隔 2 3" xfId="154"/>
    <cellStyle name="千位分隔 2 3 2" xfId="155"/>
    <cellStyle name="千位分隔 2 4" xfId="156"/>
    <cellStyle name="千位分隔 2 5" xfId="157"/>
    <cellStyle name="千位分隔 2 6" xfId="158"/>
    <cellStyle name="千位分隔 2 6 2" xfId="159"/>
    <cellStyle name="千位分隔 2 7" xfId="160"/>
    <cellStyle name="千位分隔 3" xfId="161"/>
    <cellStyle name="千位分隔 4" xfId="162"/>
    <cellStyle name="千位分隔 7" xfId="163"/>
    <cellStyle name="样式 1 6" xfId="16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2:I38"/>
  <sheetViews>
    <sheetView tabSelected="1" workbookViewId="0">
      <pane ySplit="4" topLeftCell="A5" activePane="bottomLeft" state="frozen"/>
      <selection/>
      <selection pane="bottomLeft" activeCell="K23" sqref="K23"/>
    </sheetView>
  </sheetViews>
  <sheetFormatPr defaultColWidth="9" defaultRowHeight="24" customHeight="1"/>
  <cols>
    <col min="1" max="1" width="4.25" style="15" customWidth="1"/>
    <col min="2" max="2" width="5.91666666666667" style="16" customWidth="1"/>
    <col min="3" max="3" width="29.1666666666667" style="15" customWidth="1"/>
    <col min="4" max="4" width="19.9166666666667" style="15" customWidth="1"/>
    <col min="5" max="5" width="11.9166666666667" style="17" customWidth="1"/>
    <col min="6" max="6" width="14.75" style="18" customWidth="1"/>
    <col min="7" max="7" width="60.5" style="19" customWidth="1"/>
    <col min="8" max="8" width="16.3333333333333" style="16" customWidth="1"/>
    <col min="9" max="251" width="9" style="15"/>
    <col min="252" max="252" width="4.25" style="15" customWidth="1"/>
    <col min="253" max="253" width="5.91666666666667" style="15" customWidth="1"/>
    <col min="254" max="254" width="25.6666666666667" style="15" customWidth="1"/>
    <col min="255" max="255" width="13.6666666666667" style="15" customWidth="1"/>
    <col min="256" max="256" width="45.6666666666667" style="15" customWidth="1"/>
    <col min="257" max="257" width="24.1666666666667" style="15" customWidth="1"/>
    <col min="258" max="507" width="9" style="15"/>
    <col min="508" max="508" width="4.25" style="15" customWidth="1"/>
    <col min="509" max="509" width="5.91666666666667" style="15" customWidth="1"/>
    <col min="510" max="510" width="25.6666666666667" style="15" customWidth="1"/>
    <col min="511" max="511" width="13.6666666666667" style="15" customWidth="1"/>
    <col min="512" max="512" width="45.6666666666667" style="15" customWidth="1"/>
    <col min="513" max="513" width="24.1666666666667" style="15" customWidth="1"/>
    <col min="514" max="763" width="9" style="15"/>
    <col min="764" max="764" width="4.25" style="15" customWidth="1"/>
    <col min="765" max="765" width="5.91666666666667" style="15" customWidth="1"/>
    <col min="766" max="766" width="25.6666666666667" style="15" customWidth="1"/>
    <col min="767" max="767" width="13.6666666666667" style="15" customWidth="1"/>
    <col min="768" max="768" width="45.6666666666667" style="15" customWidth="1"/>
    <col min="769" max="769" width="24.1666666666667" style="15" customWidth="1"/>
    <col min="770" max="1019" width="9" style="15"/>
    <col min="1020" max="1020" width="4.25" style="15" customWidth="1"/>
    <col min="1021" max="1021" width="5.91666666666667" style="15" customWidth="1"/>
    <col min="1022" max="1022" width="25.6666666666667" style="15" customWidth="1"/>
    <col min="1023" max="1023" width="13.6666666666667" style="15" customWidth="1"/>
    <col min="1024" max="1024" width="45.6666666666667" style="15" customWidth="1"/>
    <col min="1025" max="1025" width="24.1666666666667" style="15" customWidth="1"/>
    <col min="1026" max="1275" width="9" style="15"/>
    <col min="1276" max="1276" width="4.25" style="15" customWidth="1"/>
    <col min="1277" max="1277" width="5.91666666666667" style="15" customWidth="1"/>
    <col min="1278" max="1278" width="25.6666666666667" style="15" customWidth="1"/>
    <col min="1279" max="1279" width="13.6666666666667" style="15" customWidth="1"/>
    <col min="1280" max="1280" width="45.6666666666667" style="15" customWidth="1"/>
    <col min="1281" max="1281" width="24.1666666666667" style="15" customWidth="1"/>
    <col min="1282" max="1531" width="9" style="15"/>
    <col min="1532" max="1532" width="4.25" style="15" customWidth="1"/>
    <col min="1533" max="1533" width="5.91666666666667" style="15" customWidth="1"/>
    <col min="1534" max="1534" width="25.6666666666667" style="15" customWidth="1"/>
    <col min="1535" max="1535" width="13.6666666666667" style="15" customWidth="1"/>
    <col min="1536" max="1536" width="45.6666666666667" style="15" customWidth="1"/>
    <col min="1537" max="1537" width="24.1666666666667" style="15" customWidth="1"/>
    <col min="1538" max="1787" width="9" style="15"/>
    <col min="1788" max="1788" width="4.25" style="15" customWidth="1"/>
    <col min="1789" max="1789" width="5.91666666666667" style="15" customWidth="1"/>
    <col min="1790" max="1790" width="25.6666666666667" style="15" customWidth="1"/>
    <col min="1791" max="1791" width="13.6666666666667" style="15" customWidth="1"/>
    <col min="1792" max="1792" width="45.6666666666667" style="15" customWidth="1"/>
    <col min="1793" max="1793" width="24.1666666666667" style="15" customWidth="1"/>
    <col min="1794" max="2043" width="9" style="15"/>
    <col min="2044" max="2044" width="4.25" style="15" customWidth="1"/>
    <col min="2045" max="2045" width="5.91666666666667" style="15" customWidth="1"/>
    <col min="2046" max="2046" width="25.6666666666667" style="15" customWidth="1"/>
    <col min="2047" max="2047" width="13.6666666666667" style="15" customWidth="1"/>
    <col min="2048" max="2048" width="45.6666666666667" style="15" customWidth="1"/>
    <col min="2049" max="2049" width="24.1666666666667" style="15" customWidth="1"/>
    <col min="2050" max="2299" width="9" style="15"/>
    <col min="2300" max="2300" width="4.25" style="15" customWidth="1"/>
    <col min="2301" max="2301" width="5.91666666666667" style="15" customWidth="1"/>
    <col min="2302" max="2302" width="25.6666666666667" style="15" customWidth="1"/>
    <col min="2303" max="2303" width="13.6666666666667" style="15" customWidth="1"/>
    <col min="2304" max="2304" width="45.6666666666667" style="15" customWidth="1"/>
    <col min="2305" max="2305" width="24.1666666666667" style="15" customWidth="1"/>
    <col min="2306" max="2555" width="9" style="15"/>
    <col min="2556" max="2556" width="4.25" style="15" customWidth="1"/>
    <col min="2557" max="2557" width="5.91666666666667" style="15" customWidth="1"/>
    <col min="2558" max="2558" width="25.6666666666667" style="15" customWidth="1"/>
    <col min="2559" max="2559" width="13.6666666666667" style="15" customWidth="1"/>
    <col min="2560" max="2560" width="45.6666666666667" style="15" customWidth="1"/>
    <col min="2561" max="2561" width="24.1666666666667" style="15" customWidth="1"/>
    <col min="2562" max="2811" width="9" style="15"/>
    <col min="2812" max="2812" width="4.25" style="15" customWidth="1"/>
    <col min="2813" max="2813" width="5.91666666666667" style="15" customWidth="1"/>
    <col min="2814" max="2814" width="25.6666666666667" style="15" customWidth="1"/>
    <col min="2815" max="2815" width="13.6666666666667" style="15" customWidth="1"/>
    <col min="2816" max="2816" width="45.6666666666667" style="15" customWidth="1"/>
    <col min="2817" max="2817" width="24.1666666666667" style="15" customWidth="1"/>
    <col min="2818" max="3067" width="9" style="15"/>
    <col min="3068" max="3068" width="4.25" style="15" customWidth="1"/>
    <col min="3069" max="3069" width="5.91666666666667" style="15" customWidth="1"/>
    <col min="3070" max="3070" width="25.6666666666667" style="15" customWidth="1"/>
    <col min="3071" max="3071" width="13.6666666666667" style="15" customWidth="1"/>
    <col min="3072" max="3072" width="45.6666666666667" style="15" customWidth="1"/>
    <col min="3073" max="3073" width="24.1666666666667" style="15" customWidth="1"/>
    <col min="3074" max="3323" width="9" style="15"/>
    <col min="3324" max="3324" width="4.25" style="15" customWidth="1"/>
    <col min="3325" max="3325" width="5.91666666666667" style="15" customWidth="1"/>
    <col min="3326" max="3326" width="25.6666666666667" style="15" customWidth="1"/>
    <col min="3327" max="3327" width="13.6666666666667" style="15" customWidth="1"/>
    <col min="3328" max="3328" width="45.6666666666667" style="15" customWidth="1"/>
    <col min="3329" max="3329" width="24.1666666666667" style="15" customWidth="1"/>
    <col min="3330" max="3579" width="9" style="15"/>
    <col min="3580" max="3580" width="4.25" style="15" customWidth="1"/>
    <col min="3581" max="3581" width="5.91666666666667" style="15" customWidth="1"/>
    <col min="3582" max="3582" width="25.6666666666667" style="15" customWidth="1"/>
    <col min="3583" max="3583" width="13.6666666666667" style="15" customWidth="1"/>
    <col min="3584" max="3584" width="45.6666666666667" style="15" customWidth="1"/>
    <col min="3585" max="3585" width="24.1666666666667" style="15" customWidth="1"/>
    <col min="3586" max="3835" width="9" style="15"/>
    <col min="3836" max="3836" width="4.25" style="15" customWidth="1"/>
    <col min="3837" max="3837" width="5.91666666666667" style="15" customWidth="1"/>
    <col min="3838" max="3838" width="25.6666666666667" style="15" customWidth="1"/>
    <col min="3839" max="3839" width="13.6666666666667" style="15" customWidth="1"/>
    <col min="3840" max="3840" width="45.6666666666667" style="15" customWidth="1"/>
    <col min="3841" max="3841" width="24.1666666666667" style="15" customWidth="1"/>
    <col min="3842" max="4091" width="9" style="15"/>
    <col min="4092" max="4092" width="4.25" style="15" customWidth="1"/>
    <col min="4093" max="4093" width="5.91666666666667" style="15" customWidth="1"/>
    <col min="4094" max="4094" width="25.6666666666667" style="15" customWidth="1"/>
    <col min="4095" max="4095" width="13.6666666666667" style="15" customWidth="1"/>
    <col min="4096" max="4096" width="45.6666666666667" style="15" customWidth="1"/>
    <col min="4097" max="4097" width="24.1666666666667" style="15" customWidth="1"/>
    <col min="4098" max="4347" width="9" style="15"/>
    <col min="4348" max="4348" width="4.25" style="15" customWidth="1"/>
    <col min="4349" max="4349" width="5.91666666666667" style="15" customWidth="1"/>
    <col min="4350" max="4350" width="25.6666666666667" style="15" customWidth="1"/>
    <col min="4351" max="4351" width="13.6666666666667" style="15" customWidth="1"/>
    <col min="4352" max="4352" width="45.6666666666667" style="15" customWidth="1"/>
    <col min="4353" max="4353" width="24.1666666666667" style="15" customWidth="1"/>
    <col min="4354" max="4603" width="9" style="15"/>
    <col min="4604" max="4604" width="4.25" style="15" customWidth="1"/>
    <col min="4605" max="4605" width="5.91666666666667" style="15" customWidth="1"/>
    <col min="4606" max="4606" width="25.6666666666667" style="15" customWidth="1"/>
    <col min="4607" max="4607" width="13.6666666666667" style="15" customWidth="1"/>
    <col min="4608" max="4608" width="45.6666666666667" style="15" customWidth="1"/>
    <col min="4609" max="4609" width="24.1666666666667" style="15" customWidth="1"/>
    <col min="4610" max="4859" width="9" style="15"/>
    <col min="4860" max="4860" width="4.25" style="15" customWidth="1"/>
    <col min="4861" max="4861" width="5.91666666666667" style="15" customWidth="1"/>
    <col min="4862" max="4862" width="25.6666666666667" style="15" customWidth="1"/>
    <col min="4863" max="4863" width="13.6666666666667" style="15" customWidth="1"/>
    <col min="4864" max="4864" width="45.6666666666667" style="15" customWidth="1"/>
    <col min="4865" max="4865" width="24.1666666666667" style="15" customWidth="1"/>
    <col min="4866" max="5115" width="9" style="15"/>
    <col min="5116" max="5116" width="4.25" style="15" customWidth="1"/>
    <col min="5117" max="5117" width="5.91666666666667" style="15" customWidth="1"/>
    <col min="5118" max="5118" width="25.6666666666667" style="15" customWidth="1"/>
    <col min="5119" max="5119" width="13.6666666666667" style="15" customWidth="1"/>
    <col min="5120" max="5120" width="45.6666666666667" style="15" customWidth="1"/>
    <col min="5121" max="5121" width="24.1666666666667" style="15" customWidth="1"/>
    <col min="5122" max="5371" width="9" style="15"/>
    <col min="5372" max="5372" width="4.25" style="15" customWidth="1"/>
    <col min="5373" max="5373" width="5.91666666666667" style="15" customWidth="1"/>
    <col min="5374" max="5374" width="25.6666666666667" style="15" customWidth="1"/>
    <col min="5375" max="5375" width="13.6666666666667" style="15" customWidth="1"/>
    <col min="5376" max="5376" width="45.6666666666667" style="15" customWidth="1"/>
    <col min="5377" max="5377" width="24.1666666666667" style="15" customWidth="1"/>
    <col min="5378" max="5627" width="9" style="15"/>
    <col min="5628" max="5628" width="4.25" style="15" customWidth="1"/>
    <col min="5629" max="5629" width="5.91666666666667" style="15" customWidth="1"/>
    <col min="5630" max="5630" width="25.6666666666667" style="15" customWidth="1"/>
    <col min="5631" max="5631" width="13.6666666666667" style="15" customWidth="1"/>
    <col min="5632" max="5632" width="45.6666666666667" style="15" customWidth="1"/>
    <col min="5633" max="5633" width="24.1666666666667" style="15" customWidth="1"/>
    <col min="5634" max="5883" width="9" style="15"/>
    <col min="5884" max="5884" width="4.25" style="15" customWidth="1"/>
    <col min="5885" max="5885" width="5.91666666666667" style="15" customWidth="1"/>
    <col min="5886" max="5886" width="25.6666666666667" style="15" customWidth="1"/>
    <col min="5887" max="5887" width="13.6666666666667" style="15" customWidth="1"/>
    <col min="5888" max="5888" width="45.6666666666667" style="15" customWidth="1"/>
    <col min="5889" max="5889" width="24.1666666666667" style="15" customWidth="1"/>
    <col min="5890" max="6139" width="9" style="15"/>
    <col min="6140" max="6140" width="4.25" style="15" customWidth="1"/>
    <col min="6141" max="6141" width="5.91666666666667" style="15" customWidth="1"/>
    <col min="6142" max="6142" width="25.6666666666667" style="15" customWidth="1"/>
    <col min="6143" max="6143" width="13.6666666666667" style="15" customWidth="1"/>
    <col min="6144" max="6144" width="45.6666666666667" style="15" customWidth="1"/>
    <col min="6145" max="6145" width="24.1666666666667" style="15" customWidth="1"/>
    <col min="6146" max="6395" width="9" style="15"/>
    <col min="6396" max="6396" width="4.25" style="15" customWidth="1"/>
    <col min="6397" max="6397" width="5.91666666666667" style="15" customWidth="1"/>
    <col min="6398" max="6398" width="25.6666666666667" style="15" customWidth="1"/>
    <col min="6399" max="6399" width="13.6666666666667" style="15" customWidth="1"/>
    <col min="6400" max="6400" width="45.6666666666667" style="15" customWidth="1"/>
    <col min="6401" max="6401" width="24.1666666666667" style="15" customWidth="1"/>
    <col min="6402" max="6651" width="9" style="15"/>
    <col min="6652" max="6652" width="4.25" style="15" customWidth="1"/>
    <col min="6653" max="6653" width="5.91666666666667" style="15" customWidth="1"/>
    <col min="6654" max="6654" width="25.6666666666667" style="15" customWidth="1"/>
    <col min="6655" max="6655" width="13.6666666666667" style="15" customWidth="1"/>
    <col min="6656" max="6656" width="45.6666666666667" style="15" customWidth="1"/>
    <col min="6657" max="6657" width="24.1666666666667" style="15" customWidth="1"/>
    <col min="6658" max="6907" width="9" style="15"/>
    <col min="6908" max="6908" width="4.25" style="15" customWidth="1"/>
    <col min="6909" max="6909" width="5.91666666666667" style="15" customWidth="1"/>
    <col min="6910" max="6910" width="25.6666666666667" style="15" customWidth="1"/>
    <col min="6911" max="6911" width="13.6666666666667" style="15" customWidth="1"/>
    <col min="6912" max="6912" width="45.6666666666667" style="15" customWidth="1"/>
    <col min="6913" max="6913" width="24.1666666666667" style="15" customWidth="1"/>
    <col min="6914" max="7163" width="9" style="15"/>
    <col min="7164" max="7164" width="4.25" style="15" customWidth="1"/>
    <col min="7165" max="7165" width="5.91666666666667" style="15" customWidth="1"/>
    <col min="7166" max="7166" width="25.6666666666667" style="15" customWidth="1"/>
    <col min="7167" max="7167" width="13.6666666666667" style="15" customWidth="1"/>
    <col min="7168" max="7168" width="45.6666666666667" style="15" customWidth="1"/>
    <col min="7169" max="7169" width="24.1666666666667" style="15" customWidth="1"/>
    <col min="7170" max="7419" width="9" style="15"/>
    <col min="7420" max="7420" width="4.25" style="15" customWidth="1"/>
    <col min="7421" max="7421" width="5.91666666666667" style="15" customWidth="1"/>
    <col min="7422" max="7422" width="25.6666666666667" style="15" customWidth="1"/>
    <col min="7423" max="7423" width="13.6666666666667" style="15" customWidth="1"/>
    <col min="7424" max="7424" width="45.6666666666667" style="15" customWidth="1"/>
    <col min="7425" max="7425" width="24.1666666666667" style="15" customWidth="1"/>
    <col min="7426" max="7675" width="9" style="15"/>
    <col min="7676" max="7676" width="4.25" style="15" customWidth="1"/>
    <col min="7677" max="7677" width="5.91666666666667" style="15" customWidth="1"/>
    <col min="7678" max="7678" width="25.6666666666667" style="15" customWidth="1"/>
    <col min="7679" max="7679" width="13.6666666666667" style="15" customWidth="1"/>
    <col min="7680" max="7680" width="45.6666666666667" style="15" customWidth="1"/>
    <col min="7681" max="7681" width="24.1666666666667" style="15" customWidth="1"/>
    <col min="7682" max="7931" width="9" style="15"/>
    <col min="7932" max="7932" width="4.25" style="15" customWidth="1"/>
    <col min="7933" max="7933" width="5.91666666666667" style="15" customWidth="1"/>
    <col min="7934" max="7934" width="25.6666666666667" style="15" customWidth="1"/>
    <col min="7935" max="7935" width="13.6666666666667" style="15" customWidth="1"/>
    <col min="7936" max="7936" width="45.6666666666667" style="15" customWidth="1"/>
    <col min="7937" max="7937" width="24.1666666666667" style="15" customWidth="1"/>
    <col min="7938" max="8187" width="9" style="15"/>
    <col min="8188" max="8188" width="4.25" style="15" customWidth="1"/>
    <col min="8189" max="8189" width="5.91666666666667" style="15" customWidth="1"/>
    <col min="8190" max="8190" width="25.6666666666667" style="15" customWidth="1"/>
    <col min="8191" max="8191" width="13.6666666666667" style="15" customWidth="1"/>
    <col min="8192" max="8192" width="45.6666666666667" style="15" customWidth="1"/>
    <col min="8193" max="8193" width="24.1666666666667" style="15" customWidth="1"/>
    <col min="8194" max="8443" width="9" style="15"/>
    <col min="8444" max="8444" width="4.25" style="15" customWidth="1"/>
    <col min="8445" max="8445" width="5.91666666666667" style="15" customWidth="1"/>
    <col min="8446" max="8446" width="25.6666666666667" style="15" customWidth="1"/>
    <col min="8447" max="8447" width="13.6666666666667" style="15" customWidth="1"/>
    <col min="8448" max="8448" width="45.6666666666667" style="15" customWidth="1"/>
    <col min="8449" max="8449" width="24.1666666666667" style="15" customWidth="1"/>
    <col min="8450" max="8699" width="9" style="15"/>
    <col min="8700" max="8700" width="4.25" style="15" customWidth="1"/>
    <col min="8701" max="8701" width="5.91666666666667" style="15" customWidth="1"/>
    <col min="8702" max="8702" width="25.6666666666667" style="15" customWidth="1"/>
    <col min="8703" max="8703" width="13.6666666666667" style="15" customWidth="1"/>
    <col min="8704" max="8704" width="45.6666666666667" style="15" customWidth="1"/>
    <col min="8705" max="8705" width="24.1666666666667" style="15" customWidth="1"/>
    <col min="8706" max="8955" width="9" style="15"/>
    <col min="8956" max="8956" width="4.25" style="15" customWidth="1"/>
    <col min="8957" max="8957" width="5.91666666666667" style="15" customWidth="1"/>
    <col min="8958" max="8958" width="25.6666666666667" style="15" customWidth="1"/>
    <col min="8959" max="8959" width="13.6666666666667" style="15" customWidth="1"/>
    <col min="8960" max="8960" width="45.6666666666667" style="15" customWidth="1"/>
    <col min="8961" max="8961" width="24.1666666666667" style="15" customWidth="1"/>
    <col min="8962" max="9211" width="9" style="15"/>
    <col min="9212" max="9212" width="4.25" style="15" customWidth="1"/>
    <col min="9213" max="9213" width="5.91666666666667" style="15" customWidth="1"/>
    <col min="9214" max="9214" width="25.6666666666667" style="15" customWidth="1"/>
    <col min="9215" max="9215" width="13.6666666666667" style="15" customWidth="1"/>
    <col min="9216" max="9216" width="45.6666666666667" style="15" customWidth="1"/>
    <col min="9217" max="9217" width="24.1666666666667" style="15" customWidth="1"/>
    <col min="9218" max="9467" width="9" style="15"/>
    <col min="9468" max="9468" width="4.25" style="15" customWidth="1"/>
    <col min="9469" max="9469" width="5.91666666666667" style="15" customWidth="1"/>
    <col min="9470" max="9470" width="25.6666666666667" style="15" customWidth="1"/>
    <col min="9471" max="9471" width="13.6666666666667" style="15" customWidth="1"/>
    <col min="9472" max="9472" width="45.6666666666667" style="15" customWidth="1"/>
    <col min="9473" max="9473" width="24.1666666666667" style="15" customWidth="1"/>
    <col min="9474" max="9723" width="9" style="15"/>
    <col min="9724" max="9724" width="4.25" style="15" customWidth="1"/>
    <col min="9725" max="9725" width="5.91666666666667" style="15" customWidth="1"/>
    <col min="9726" max="9726" width="25.6666666666667" style="15" customWidth="1"/>
    <col min="9727" max="9727" width="13.6666666666667" style="15" customWidth="1"/>
    <col min="9728" max="9728" width="45.6666666666667" style="15" customWidth="1"/>
    <col min="9729" max="9729" width="24.1666666666667" style="15" customWidth="1"/>
    <col min="9730" max="9979" width="9" style="15"/>
    <col min="9980" max="9980" width="4.25" style="15" customWidth="1"/>
    <col min="9981" max="9981" width="5.91666666666667" style="15" customWidth="1"/>
    <col min="9982" max="9982" width="25.6666666666667" style="15" customWidth="1"/>
    <col min="9983" max="9983" width="13.6666666666667" style="15" customWidth="1"/>
    <col min="9984" max="9984" width="45.6666666666667" style="15" customWidth="1"/>
    <col min="9985" max="9985" width="24.1666666666667" style="15" customWidth="1"/>
    <col min="9986" max="10235" width="9" style="15"/>
    <col min="10236" max="10236" width="4.25" style="15" customWidth="1"/>
    <col min="10237" max="10237" width="5.91666666666667" style="15" customWidth="1"/>
    <col min="10238" max="10238" width="25.6666666666667" style="15" customWidth="1"/>
    <col min="10239" max="10239" width="13.6666666666667" style="15" customWidth="1"/>
    <col min="10240" max="10240" width="45.6666666666667" style="15" customWidth="1"/>
    <col min="10241" max="10241" width="24.1666666666667" style="15" customWidth="1"/>
    <col min="10242" max="10491" width="9" style="15"/>
    <col min="10492" max="10492" width="4.25" style="15" customWidth="1"/>
    <col min="10493" max="10493" width="5.91666666666667" style="15" customWidth="1"/>
    <col min="10494" max="10494" width="25.6666666666667" style="15" customWidth="1"/>
    <col min="10495" max="10495" width="13.6666666666667" style="15" customWidth="1"/>
    <col min="10496" max="10496" width="45.6666666666667" style="15" customWidth="1"/>
    <col min="10497" max="10497" width="24.1666666666667" style="15" customWidth="1"/>
    <col min="10498" max="10747" width="9" style="15"/>
    <col min="10748" max="10748" width="4.25" style="15" customWidth="1"/>
    <col min="10749" max="10749" width="5.91666666666667" style="15" customWidth="1"/>
    <col min="10750" max="10750" width="25.6666666666667" style="15" customWidth="1"/>
    <col min="10751" max="10751" width="13.6666666666667" style="15" customWidth="1"/>
    <col min="10752" max="10752" width="45.6666666666667" style="15" customWidth="1"/>
    <col min="10753" max="10753" width="24.1666666666667" style="15" customWidth="1"/>
    <col min="10754" max="11003" width="9" style="15"/>
    <col min="11004" max="11004" width="4.25" style="15" customWidth="1"/>
    <col min="11005" max="11005" width="5.91666666666667" style="15" customWidth="1"/>
    <col min="11006" max="11006" width="25.6666666666667" style="15" customWidth="1"/>
    <col min="11007" max="11007" width="13.6666666666667" style="15" customWidth="1"/>
    <col min="11008" max="11008" width="45.6666666666667" style="15" customWidth="1"/>
    <col min="11009" max="11009" width="24.1666666666667" style="15" customWidth="1"/>
    <col min="11010" max="11259" width="9" style="15"/>
    <col min="11260" max="11260" width="4.25" style="15" customWidth="1"/>
    <col min="11261" max="11261" width="5.91666666666667" style="15" customWidth="1"/>
    <col min="11262" max="11262" width="25.6666666666667" style="15" customWidth="1"/>
    <col min="11263" max="11263" width="13.6666666666667" style="15" customWidth="1"/>
    <col min="11264" max="11264" width="45.6666666666667" style="15" customWidth="1"/>
    <col min="11265" max="11265" width="24.1666666666667" style="15" customWidth="1"/>
    <col min="11266" max="11515" width="9" style="15"/>
    <col min="11516" max="11516" width="4.25" style="15" customWidth="1"/>
    <col min="11517" max="11517" width="5.91666666666667" style="15" customWidth="1"/>
    <col min="11518" max="11518" width="25.6666666666667" style="15" customWidth="1"/>
    <col min="11519" max="11519" width="13.6666666666667" style="15" customWidth="1"/>
    <col min="11520" max="11520" width="45.6666666666667" style="15" customWidth="1"/>
    <col min="11521" max="11521" width="24.1666666666667" style="15" customWidth="1"/>
    <col min="11522" max="11771" width="9" style="15"/>
    <col min="11772" max="11772" width="4.25" style="15" customWidth="1"/>
    <col min="11773" max="11773" width="5.91666666666667" style="15" customWidth="1"/>
    <col min="11774" max="11774" width="25.6666666666667" style="15" customWidth="1"/>
    <col min="11775" max="11775" width="13.6666666666667" style="15" customWidth="1"/>
    <col min="11776" max="11776" width="45.6666666666667" style="15" customWidth="1"/>
    <col min="11777" max="11777" width="24.1666666666667" style="15" customWidth="1"/>
    <col min="11778" max="12027" width="9" style="15"/>
    <col min="12028" max="12028" width="4.25" style="15" customWidth="1"/>
    <col min="12029" max="12029" width="5.91666666666667" style="15" customWidth="1"/>
    <col min="12030" max="12030" width="25.6666666666667" style="15" customWidth="1"/>
    <col min="12031" max="12031" width="13.6666666666667" style="15" customWidth="1"/>
    <col min="12032" max="12032" width="45.6666666666667" style="15" customWidth="1"/>
    <col min="12033" max="12033" width="24.1666666666667" style="15" customWidth="1"/>
    <col min="12034" max="12283" width="9" style="15"/>
    <col min="12284" max="12284" width="4.25" style="15" customWidth="1"/>
    <col min="12285" max="12285" width="5.91666666666667" style="15" customWidth="1"/>
    <col min="12286" max="12286" width="25.6666666666667" style="15" customWidth="1"/>
    <col min="12287" max="12287" width="13.6666666666667" style="15" customWidth="1"/>
    <col min="12288" max="12288" width="45.6666666666667" style="15" customWidth="1"/>
    <col min="12289" max="12289" width="24.1666666666667" style="15" customWidth="1"/>
    <col min="12290" max="12539" width="9" style="15"/>
    <col min="12540" max="12540" width="4.25" style="15" customWidth="1"/>
    <col min="12541" max="12541" width="5.91666666666667" style="15" customWidth="1"/>
    <col min="12542" max="12542" width="25.6666666666667" style="15" customWidth="1"/>
    <col min="12543" max="12543" width="13.6666666666667" style="15" customWidth="1"/>
    <col min="12544" max="12544" width="45.6666666666667" style="15" customWidth="1"/>
    <col min="12545" max="12545" width="24.1666666666667" style="15" customWidth="1"/>
    <col min="12546" max="12795" width="9" style="15"/>
    <col min="12796" max="12796" width="4.25" style="15" customWidth="1"/>
    <col min="12797" max="12797" width="5.91666666666667" style="15" customWidth="1"/>
    <col min="12798" max="12798" width="25.6666666666667" style="15" customWidth="1"/>
    <col min="12799" max="12799" width="13.6666666666667" style="15" customWidth="1"/>
    <col min="12800" max="12800" width="45.6666666666667" style="15" customWidth="1"/>
    <col min="12801" max="12801" width="24.1666666666667" style="15" customWidth="1"/>
    <col min="12802" max="13051" width="9" style="15"/>
    <col min="13052" max="13052" width="4.25" style="15" customWidth="1"/>
    <col min="13053" max="13053" width="5.91666666666667" style="15" customWidth="1"/>
    <col min="13054" max="13054" width="25.6666666666667" style="15" customWidth="1"/>
    <col min="13055" max="13055" width="13.6666666666667" style="15" customWidth="1"/>
    <col min="13056" max="13056" width="45.6666666666667" style="15" customWidth="1"/>
    <col min="13057" max="13057" width="24.1666666666667" style="15" customWidth="1"/>
    <col min="13058" max="13307" width="9" style="15"/>
    <col min="13308" max="13308" width="4.25" style="15" customWidth="1"/>
    <col min="13309" max="13309" width="5.91666666666667" style="15" customWidth="1"/>
    <col min="13310" max="13310" width="25.6666666666667" style="15" customWidth="1"/>
    <col min="13311" max="13311" width="13.6666666666667" style="15" customWidth="1"/>
    <col min="13312" max="13312" width="45.6666666666667" style="15" customWidth="1"/>
    <col min="13313" max="13313" width="24.1666666666667" style="15" customWidth="1"/>
    <col min="13314" max="13563" width="9" style="15"/>
    <col min="13564" max="13564" width="4.25" style="15" customWidth="1"/>
    <col min="13565" max="13565" width="5.91666666666667" style="15" customWidth="1"/>
    <col min="13566" max="13566" width="25.6666666666667" style="15" customWidth="1"/>
    <col min="13567" max="13567" width="13.6666666666667" style="15" customWidth="1"/>
    <col min="13568" max="13568" width="45.6666666666667" style="15" customWidth="1"/>
    <col min="13569" max="13569" width="24.1666666666667" style="15" customWidth="1"/>
    <col min="13570" max="13819" width="9" style="15"/>
    <col min="13820" max="13820" width="4.25" style="15" customWidth="1"/>
    <col min="13821" max="13821" width="5.91666666666667" style="15" customWidth="1"/>
    <col min="13822" max="13822" width="25.6666666666667" style="15" customWidth="1"/>
    <col min="13823" max="13823" width="13.6666666666667" style="15" customWidth="1"/>
    <col min="13824" max="13824" width="45.6666666666667" style="15" customWidth="1"/>
    <col min="13825" max="13825" width="24.1666666666667" style="15" customWidth="1"/>
    <col min="13826" max="14075" width="9" style="15"/>
    <col min="14076" max="14076" width="4.25" style="15" customWidth="1"/>
    <col min="14077" max="14077" width="5.91666666666667" style="15" customWidth="1"/>
    <col min="14078" max="14078" width="25.6666666666667" style="15" customWidth="1"/>
    <col min="14079" max="14079" width="13.6666666666667" style="15" customWidth="1"/>
    <col min="14080" max="14080" width="45.6666666666667" style="15" customWidth="1"/>
    <col min="14081" max="14081" width="24.1666666666667" style="15" customWidth="1"/>
    <col min="14082" max="14331" width="9" style="15"/>
    <col min="14332" max="14332" width="4.25" style="15" customWidth="1"/>
    <col min="14333" max="14333" width="5.91666666666667" style="15" customWidth="1"/>
    <col min="14334" max="14334" width="25.6666666666667" style="15" customWidth="1"/>
    <col min="14335" max="14335" width="13.6666666666667" style="15" customWidth="1"/>
    <col min="14336" max="14336" width="45.6666666666667" style="15" customWidth="1"/>
    <col min="14337" max="14337" width="24.1666666666667" style="15" customWidth="1"/>
    <col min="14338" max="14587" width="9" style="15"/>
    <col min="14588" max="14588" width="4.25" style="15" customWidth="1"/>
    <col min="14589" max="14589" width="5.91666666666667" style="15" customWidth="1"/>
    <col min="14590" max="14590" width="25.6666666666667" style="15" customWidth="1"/>
    <col min="14591" max="14591" width="13.6666666666667" style="15" customWidth="1"/>
    <col min="14592" max="14592" width="45.6666666666667" style="15" customWidth="1"/>
    <col min="14593" max="14593" width="24.1666666666667" style="15" customWidth="1"/>
    <col min="14594" max="14843" width="9" style="15"/>
    <col min="14844" max="14844" width="4.25" style="15" customWidth="1"/>
    <col min="14845" max="14845" width="5.91666666666667" style="15" customWidth="1"/>
    <col min="14846" max="14846" width="25.6666666666667" style="15" customWidth="1"/>
    <col min="14847" max="14847" width="13.6666666666667" style="15" customWidth="1"/>
    <col min="14848" max="14848" width="45.6666666666667" style="15" customWidth="1"/>
    <col min="14849" max="14849" width="24.1666666666667" style="15" customWidth="1"/>
    <col min="14850" max="15099" width="9" style="15"/>
    <col min="15100" max="15100" width="4.25" style="15" customWidth="1"/>
    <col min="15101" max="15101" width="5.91666666666667" style="15" customWidth="1"/>
    <col min="15102" max="15102" width="25.6666666666667" style="15" customWidth="1"/>
    <col min="15103" max="15103" width="13.6666666666667" style="15" customWidth="1"/>
    <col min="15104" max="15104" width="45.6666666666667" style="15" customWidth="1"/>
    <col min="15105" max="15105" width="24.1666666666667" style="15" customWidth="1"/>
    <col min="15106" max="15355" width="9" style="15"/>
    <col min="15356" max="15356" width="4.25" style="15" customWidth="1"/>
    <col min="15357" max="15357" width="5.91666666666667" style="15" customWidth="1"/>
    <col min="15358" max="15358" width="25.6666666666667" style="15" customWidth="1"/>
    <col min="15359" max="15359" width="13.6666666666667" style="15" customWidth="1"/>
    <col min="15360" max="15360" width="45.6666666666667" style="15" customWidth="1"/>
    <col min="15361" max="15361" width="24.1666666666667" style="15" customWidth="1"/>
    <col min="15362" max="15611" width="9" style="15"/>
    <col min="15612" max="15612" width="4.25" style="15" customWidth="1"/>
    <col min="15613" max="15613" width="5.91666666666667" style="15" customWidth="1"/>
    <col min="15614" max="15614" width="25.6666666666667" style="15" customWidth="1"/>
    <col min="15615" max="15615" width="13.6666666666667" style="15" customWidth="1"/>
    <col min="15616" max="15616" width="45.6666666666667" style="15" customWidth="1"/>
    <col min="15617" max="15617" width="24.1666666666667" style="15" customWidth="1"/>
    <col min="15618" max="15867" width="9" style="15"/>
    <col min="15868" max="15868" width="4.25" style="15" customWidth="1"/>
    <col min="15869" max="15869" width="5.91666666666667" style="15" customWidth="1"/>
    <col min="15870" max="15870" width="25.6666666666667" style="15" customWidth="1"/>
    <col min="15871" max="15871" width="13.6666666666667" style="15" customWidth="1"/>
    <col min="15872" max="15872" width="45.6666666666667" style="15" customWidth="1"/>
    <col min="15873" max="15873" width="24.1666666666667" style="15" customWidth="1"/>
    <col min="15874" max="16123" width="9" style="15"/>
    <col min="16124" max="16124" width="4.25" style="15" customWidth="1"/>
    <col min="16125" max="16125" width="5.91666666666667" style="15" customWidth="1"/>
    <col min="16126" max="16126" width="25.6666666666667" style="15" customWidth="1"/>
    <col min="16127" max="16127" width="13.6666666666667" style="15" customWidth="1"/>
    <col min="16128" max="16128" width="45.6666666666667" style="15" customWidth="1"/>
    <col min="16129" max="16129" width="24.1666666666667" style="15" customWidth="1"/>
    <col min="16130" max="16384" width="9" style="15"/>
  </cols>
  <sheetData>
    <row r="2" customHeight="1" spans="2:7">
      <c r="B2" s="20"/>
      <c r="C2" s="21"/>
      <c r="D2" s="22"/>
      <c r="E2" s="23" t="s">
        <v>0</v>
      </c>
      <c r="F2" s="24" t="s">
        <v>1</v>
      </c>
      <c r="G2" s="23" t="s">
        <v>2</v>
      </c>
    </row>
    <row r="3" ht="36" customHeight="1" spans="2:7">
      <c r="B3" s="25" t="s">
        <v>3</v>
      </c>
      <c r="C3" s="26"/>
      <c r="D3" s="26"/>
      <c r="E3" s="27"/>
      <c r="F3" s="28"/>
      <c r="G3" s="29"/>
    </row>
    <row r="4" ht="28" customHeight="1" spans="2:7">
      <c r="B4" s="30" t="s">
        <v>4</v>
      </c>
      <c r="C4" s="31" t="s">
        <v>5</v>
      </c>
      <c r="D4" s="32" t="s">
        <v>6</v>
      </c>
      <c r="E4" s="33" t="s">
        <v>7</v>
      </c>
      <c r="F4" s="34" t="s">
        <v>8</v>
      </c>
      <c r="G4" s="35" t="s">
        <v>9</v>
      </c>
    </row>
    <row r="5" customHeight="1" spans="2:7">
      <c r="B5" s="36">
        <v>1</v>
      </c>
      <c r="C5" s="37" t="s">
        <v>10</v>
      </c>
      <c r="D5" s="38"/>
      <c r="E5" s="38"/>
      <c r="F5" s="38"/>
      <c r="G5" s="39"/>
    </row>
    <row r="6" customHeight="1" spans="2:7">
      <c r="B6" s="40">
        <v>1.1</v>
      </c>
      <c r="C6" s="41"/>
      <c r="D6" s="42">
        <f>(1+E6)*F6</f>
        <v>0</v>
      </c>
      <c r="E6" s="43">
        <v>0.13</v>
      </c>
      <c r="F6" s="44"/>
      <c r="G6" s="45" t="s">
        <v>11</v>
      </c>
    </row>
    <row r="7" customHeight="1" spans="2:7">
      <c r="B7" s="40">
        <v>1.2</v>
      </c>
      <c r="C7" s="41"/>
      <c r="D7" s="42">
        <f>(1+E7)*F7</f>
        <v>167400.0018</v>
      </c>
      <c r="E7" s="43">
        <v>0.06</v>
      </c>
      <c r="F7" s="44">
        <v>157924.53</v>
      </c>
      <c r="G7" s="45" t="s">
        <v>12</v>
      </c>
    </row>
    <row r="8" customHeight="1" spans="2:7">
      <c r="B8" s="40">
        <v>1.3</v>
      </c>
      <c r="C8" s="41"/>
      <c r="D8" s="42">
        <f>(1+E8)*F8</f>
        <v>0</v>
      </c>
      <c r="E8" s="43">
        <v>0.13</v>
      </c>
      <c r="F8" s="44">
        <v>0</v>
      </c>
      <c r="G8" s="45" t="s">
        <v>11</v>
      </c>
    </row>
    <row r="9" customHeight="1" spans="2:7">
      <c r="B9" s="46" t="s">
        <v>13</v>
      </c>
      <c r="C9" s="47"/>
      <c r="D9" s="48">
        <f>SUM(D6:D8)</f>
        <v>167400.0018</v>
      </c>
      <c r="E9" s="49"/>
      <c r="F9" s="50">
        <f>SUM(F6:F8)</f>
        <v>157924.53</v>
      </c>
      <c r="G9" s="51" t="s">
        <v>14</v>
      </c>
    </row>
    <row r="10" customHeight="1" spans="2:7">
      <c r="B10" s="52"/>
      <c r="C10" s="53"/>
      <c r="D10" s="53"/>
      <c r="E10" s="53"/>
      <c r="F10" s="53"/>
      <c r="G10" s="54"/>
    </row>
    <row r="11" customHeight="1" spans="2:7">
      <c r="B11" s="55">
        <v>2</v>
      </c>
      <c r="C11" s="38" t="s">
        <v>15</v>
      </c>
      <c r="D11" s="38"/>
      <c r="E11" s="38"/>
      <c r="F11" s="38"/>
      <c r="G11" s="56" t="s">
        <v>16</v>
      </c>
    </row>
    <row r="12" s="13" customFormat="1" customHeight="1" spans="2:8">
      <c r="B12" s="57">
        <v>2.1</v>
      </c>
      <c r="C12" s="58" t="s">
        <v>17</v>
      </c>
      <c r="D12" s="42">
        <f>(1+E12)*F12</f>
        <v>0</v>
      </c>
      <c r="E12" s="59">
        <v>0.09</v>
      </c>
      <c r="F12" s="60">
        <v>0</v>
      </c>
      <c r="G12" s="61" t="s">
        <v>18</v>
      </c>
      <c r="H12" s="62"/>
    </row>
    <row r="13" customHeight="1" spans="2:7">
      <c r="B13" s="63">
        <v>2.2</v>
      </c>
      <c r="C13" s="41" t="s">
        <v>19</v>
      </c>
      <c r="D13" s="42">
        <f>(1+E13)*F13</f>
        <v>0</v>
      </c>
      <c r="E13" s="64">
        <v>0.13</v>
      </c>
      <c r="F13" s="60">
        <v>0</v>
      </c>
      <c r="G13" s="65" t="s">
        <v>19</v>
      </c>
    </row>
    <row r="14" customHeight="1" spans="2:7">
      <c r="B14" s="46" t="s">
        <v>20</v>
      </c>
      <c r="C14" s="66"/>
      <c r="D14" s="48">
        <f>SUM(D12:D13)</f>
        <v>0</v>
      </c>
      <c r="E14" s="49"/>
      <c r="F14" s="50">
        <f>SUM(F12:F13)</f>
        <v>0</v>
      </c>
      <c r="G14" s="67" t="s">
        <v>21</v>
      </c>
    </row>
    <row r="15" customHeight="1" spans="2:7">
      <c r="B15" s="52"/>
      <c r="C15" s="53"/>
      <c r="D15" s="53"/>
      <c r="E15" s="53"/>
      <c r="F15" s="53"/>
      <c r="G15" s="54"/>
    </row>
    <row r="16" customHeight="1" spans="2:7">
      <c r="B16" s="36">
        <v>3</v>
      </c>
      <c r="C16" s="37" t="s">
        <v>22</v>
      </c>
      <c r="D16" s="38"/>
      <c r="E16" s="38"/>
      <c r="F16" s="68"/>
      <c r="G16" s="56" t="s">
        <v>23</v>
      </c>
    </row>
    <row r="17" ht="30" customHeight="1" spans="2:8">
      <c r="B17" s="69">
        <v>3.1</v>
      </c>
      <c r="C17" s="41" t="s">
        <v>24</v>
      </c>
      <c r="D17" s="70">
        <f>F17*(1+E17)</f>
        <v>0</v>
      </c>
      <c r="E17" s="64">
        <v>0.06</v>
      </c>
      <c r="F17" s="71">
        <v>0</v>
      </c>
      <c r="G17" s="72" t="s">
        <v>25</v>
      </c>
      <c r="H17" s="73"/>
    </row>
    <row r="18" ht="30" customHeight="1" spans="2:9">
      <c r="B18" s="69">
        <v>3.2</v>
      </c>
      <c r="C18" s="41" t="s">
        <v>26</v>
      </c>
      <c r="D18" s="70">
        <f>F18*(1+E18)</f>
        <v>0</v>
      </c>
      <c r="E18" s="64">
        <v>0.06</v>
      </c>
      <c r="F18" s="44">
        <v>0</v>
      </c>
      <c r="G18" s="74" t="s">
        <v>27</v>
      </c>
      <c r="H18" s="75"/>
      <c r="I18" s="108"/>
    </row>
    <row r="19" ht="30" customHeight="1" spans="2:7">
      <c r="B19" s="69">
        <v>3.3</v>
      </c>
      <c r="C19" s="41" t="s">
        <v>28</v>
      </c>
      <c r="D19" s="70">
        <f>F19*(1+E19)</f>
        <v>0</v>
      </c>
      <c r="E19" s="64">
        <v>0.09</v>
      </c>
      <c r="F19" s="71">
        <f>F14*2%</f>
        <v>0</v>
      </c>
      <c r="G19" s="76" t="s">
        <v>29</v>
      </c>
    </row>
    <row r="20" ht="30" customHeight="1" spans="2:8">
      <c r="B20" s="69">
        <v>3.4</v>
      </c>
      <c r="C20" s="41" t="s">
        <v>30</v>
      </c>
      <c r="D20" s="70">
        <f>F20*(1+E20)</f>
        <v>0</v>
      </c>
      <c r="E20" s="64">
        <v>0.06</v>
      </c>
      <c r="F20" s="44">
        <v>0</v>
      </c>
      <c r="G20" s="77" t="s">
        <v>31</v>
      </c>
      <c r="H20" s="78"/>
    </row>
    <row r="21" ht="30" customHeight="1" spans="2:8">
      <c r="B21" s="69">
        <v>3.5</v>
      </c>
      <c r="C21" s="41" t="s">
        <v>32</v>
      </c>
      <c r="D21" s="70"/>
      <c r="E21" s="64">
        <v>0.06</v>
      </c>
      <c r="F21" s="71"/>
      <c r="G21" s="77" t="s">
        <v>33</v>
      </c>
      <c r="H21" s="79"/>
    </row>
    <row r="22" ht="30" customHeight="1" spans="2:8">
      <c r="B22" s="80" t="s">
        <v>34</v>
      </c>
      <c r="C22" s="66"/>
      <c r="D22" s="48">
        <f>SUM(D17:D21)</f>
        <v>0</v>
      </c>
      <c r="E22" s="49"/>
      <c r="F22" s="50">
        <f>SUM(F17:F21)</f>
        <v>0</v>
      </c>
      <c r="G22" s="81" t="s">
        <v>35</v>
      </c>
      <c r="H22" s="79"/>
    </row>
    <row r="23" ht="30" customHeight="1" spans="2:8">
      <c r="B23" s="69"/>
      <c r="C23" s="41"/>
      <c r="D23" s="82"/>
      <c r="E23" s="64"/>
      <c r="F23" s="71"/>
      <c r="G23" s="77"/>
      <c r="H23" s="79"/>
    </row>
    <row r="24" ht="30" customHeight="1" spans="2:8">
      <c r="B24" s="66" t="s">
        <v>36</v>
      </c>
      <c r="C24" s="66" t="s">
        <v>37</v>
      </c>
      <c r="D24" s="66">
        <f>SUM(D22,D14,D9)*H24</f>
        <v>0</v>
      </c>
      <c r="E24" s="66" t="s">
        <v>38</v>
      </c>
      <c r="F24" s="66">
        <f>SUM(F22,F14,F9)*H24</f>
        <v>0</v>
      </c>
      <c r="G24" s="83" t="s">
        <v>39</v>
      </c>
      <c r="H24" s="84"/>
    </row>
    <row r="25" s="14" customFormat="1" customHeight="1" spans="2:8">
      <c r="B25" s="85" t="s">
        <v>40</v>
      </c>
      <c r="C25" s="66" t="s">
        <v>41</v>
      </c>
      <c r="D25" s="66"/>
      <c r="E25" s="86">
        <v>0.06</v>
      </c>
      <c r="F25" s="66">
        <f>D25/(E25+1)</f>
        <v>0</v>
      </c>
      <c r="G25" s="83" t="s">
        <v>42</v>
      </c>
      <c r="H25" s="12"/>
    </row>
    <row r="26" s="14" customFormat="1" customHeight="1" spans="2:8">
      <c r="B26" s="85" t="s">
        <v>43</v>
      </c>
      <c r="C26" s="66" t="s">
        <v>44</v>
      </c>
      <c r="D26" s="66"/>
      <c r="E26" s="66"/>
      <c r="F26" s="66">
        <f>D26/(E26+1)</f>
        <v>0</v>
      </c>
      <c r="G26" s="83" t="s">
        <v>45</v>
      </c>
      <c r="H26" s="12"/>
    </row>
    <row r="27" s="14" customFormat="1" customHeight="1" spans="2:8">
      <c r="B27" s="85" t="s">
        <v>46</v>
      </c>
      <c r="C27" s="66" t="s">
        <v>47</v>
      </c>
      <c r="D27" s="66">
        <v>24</v>
      </c>
      <c r="E27" s="86">
        <v>0.06</v>
      </c>
      <c r="F27" s="66">
        <f>D27/1.06</f>
        <v>22.6415094339623</v>
      </c>
      <c r="G27" s="83"/>
      <c r="H27" s="12"/>
    </row>
    <row r="28" customHeight="1" spans="2:7">
      <c r="B28" s="87"/>
      <c r="C28" s="53"/>
      <c r="D28" s="53"/>
      <c r="E28" s="53"/>
      <c r="F28" s="53"/>
      <c r="G28" s="54"/>
    </row>
    <row r="29" s="14" customFormat="1" customHeight="1" spans="2:8">
      <c r="B29" s="88" t="s">
        <v>48</v>
      </c>
      <c r="C29" s="89"/>
      <c r="D29" s="90">
        <f>SUM(D24:D27,D22,D14,D9)</f>
        <v>167424.0018</v>
      </c>
      <c r="E29" s="91"/>
      <c r="F29" s="90">
        <f>SUM(F24:F27,F22,F14,F9)</f>
        <v>157947.171509434</v>
      </c>
      <c r="G29" s="92" t="s">
        <v>49</v>
      </c>
      <c r="H29" s="12"/>
    </row>
    <row r="30" s="14" customFormat="1" customHeight="1" spans="2:8">
      <c r="B30" s="93"/>
      <c r="C30" s="94"/>
      <c r="D30" s="95"/>
      <c r="E30" s="96"/>
      <c r="F30" s="97"/>
      <c r="G30" s="98"/>
      <c r="H30" s="12"/>
    </row>
    <row r="31" s="14" customFormat="1" customHeight="1" spans="2:8">
      <c r="B31" s="66" t="s">
        <v>43</v>
      </c>
      <c r="C31" s="66" t="s">
        <v>50</v>
      </c>
      <c r="D31" s="66"/>
      <c r="E31" s="66"/>
      <c r="F31" s="66"/>
      <c r="G31" s="66"/>
      <c r="H31" s="12"/>
    </row>
    <row r="32" s="14" customFormat="1" customHeight="1" spans="2:8">
      <c r="B32" s="99"/>
      <c r="C32" s="100"/>
      <c r="D32" s="100"/>
      <c r="E32" s="100"/>
      <c r="F32" s="101"/>
      <c r="G32" s="101"/>
      <c r="H32" s="12"/>
    </row>
    <row r="33" s="14" customFormat="1" customHeight="1" spans="2:8">
      <c r="B33" s="15"/>
      <c r="C33" s="15"/>
      <c r="D33" s="15"/>
      <c r="E33" s="15"/>
      <c r="F33" s="15"/>
      <c r="G33" s="15"/>
      <c r="H33" s="12"/>
    </row>
    <row r="34" customHeight="1" spans="2:7">
      <c r="B34" s="102"/>
      <c r="C34" s="102" t="s">
        <v>51</v>
      </c>
      <c r="D34" s="102"/>
      <c r="E34" s="102"/>
      <c r="F34" s="103" t="s">
        <v>52</v>
      </c>
      <c r="G34" s="102"/>
    </row>
    <row r="35" customHeight="1" spans="2:7">
      <c r="B35" s="102"/>
      <c r="C35" s="102" t="s">
        <v>53</v>
      </c>
      <c r="D35" s="102"/>
      <c r="E35" s="102"/>
      <c r="F35" s="102"/>
      <c r="G35" s="102"/>
    </row>
    <row r="36" customHeight="1" spans="2:7">
      <c r="B36" s="104"/>
      <c r="G36" s="15"/>
    </row>
    <row r="38" customHeight="1" spans="3:5">
      <c r="C38" s="105"/>
      <c r="D38" s="106"/>
      <c r="E38" s="107"/>
    </row>
  </sheetData>
  <mergeCells count="8">
    <mergeCell ref="C2:D2"/>
    <mergeCell ref="B3:D3"/>
    <mergeCell ref="C5:F5"/>
    <mergeCell ref="B10:G10"/>
    <mergeCell ref="C11:F11"/>
    <mergeCell ref="B15:G15"/>
    <mergeCell ref="C16:F16"/>
    <mergeCell ref="B28:G28"/>
  </mergeCells>
  <dataValidations count="1">
    <dataValidation type="list" allowBlank="1" showInputMessage="1" showErrorMessage="1" sqref="F2">
      <formula1>"投资型,销售型,服务型"</formula1>
    </dataValidation>
  </dataValidations>
  <pageMargins left="0.7" right="0.7" top="0.75" bottom="0.75" header="0.3" footer="0.3"/>
  <pageSetup paperSize="9" scale="6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D3" sqref="D3"/>
    </sheetView>
  </sheetViews>
  <sheetFormatPr defaultColWidth="13.9166666666667" defaultRowHeight="19" customHeight="1" outlineLevelCol="5"/>
  <cols>
    <col min="1" max="1" width="17.5833333333333" style="2" customWidth="1"/>
    <col min="2" max="3" width="19.1666666666667" style="2" customWidth="1"/>
    <col min="4" max="4" width="16.75" style="2" customWidth="1"/>
    <col min="5" max="5" width="20.5" style="2" customWidth="1"/>
    <col min="6" max="6" width="17.5" style="2" customWidth="1"/>
    <col min="7" max="254" width="13.9166666666667" style="2"/>
    <col min="255" max="255" width="14" style="2" customWidth="1"/>
    <col min="256" max="256" width="19.1666666666667" style="2" customWidth="1"/>
    <col min="257" max="257" width="17.6666666666667" style="2" customWidth="1"/>
    <col min="258" max="258" width="15.25" style="2" customWidth="1"/>
    <col min="259" max="259" width="16.6666666666667" style="2" customWidth="1"/>
    <col min="260" max="260" width="17.5" style="2" customWidth="1"/>
    <col min="261" max="261" width="12.25" style="2" customWidth="1"/>
    <col min="262" max="510" width="13.9166666666667" style="2"/>
    <col min="511" max="511" width="14" style="2" customWidth="1"/>
    <col min="512" max="512" width="19.1666666666667" style="2" customWidth="1"/>
    <col min="513" max="513" width="17.6666666666667" style="2" customWidth="1"/>
    <col min="514" max="514" width="15.25" style="2" customWidth="1"/>
    <col min="515" max="515" width="16.6666666666667" style="2" customWidth="1"/>
    <col min="516" max="516" width="17.5" style="2" customWidth="1"/>
    <col min="517" max="517" width="12.25" style="2" customWidth="1"/>
    <col min="518" max="766" width="13.9166666666667" style="2"/>
    <col min="767" max="767" width="14" style="2" customWidth="1"/>
    <col min="768" max="768" width="19.1666666666667" style="2" customWidth="1"/>
    <col min="769" max="769" width="17.6666666666667" style="2" customWidth="1"/>
    <col min="770" max="770" width="15.25" style="2" customWidth="1"/>
    <col min="771" max="771" width="16.6666666666667" style="2" customWidth="1"/>
    <col min="772" max="772" width="17.5" style="2" customWidth="1"/>
    <col min="773" max="773" width="12.25" style="2" customWidth="1"/>
    <col min="774" max="1022" width="13.9166666666667" style="2"/>
    <col min="1023" max="1023" width="14" style="2" customWidth="1"/>
    <col min="1024" max="1024" width="19.1666666666667" style="2" customWidth="1"/>
    <col min="1025" max="1025" width="17.6666666666667" style="2" customWidth="1"/>
    <col min="1026" max="1026" width="15.25" style="2" customWidth="1"/>
    <col min="1027" max="1027" width="16.6666666666667" style="2" customWidth="1"/>
    <col min="1028" max="1028" width="17.5" style="2" customWidth="1"/>
    <col min="1029" max="1029" width="12.25" style="2" customWidth="1"/>
    <col min="1030" max="1278" width="13.9166666666667" style="2"/>
    <col min="1279" max="1279" width="14" style="2" customWidth="1"/>
    <col min="1280" max="1280" width="19.1666666666667" style="2" customWidth="1"/>
    <col min="1281" max="1281" width="17.6666666666667" style="2" customWidth="1"/>
    <col min="1282" max="1282" width="15.25" style="2" customWidth="1"/>
    <col min="1283" max="1283" width="16.6666666666667" style="2" customWidth="1"/>
    <col min="1284" max="1284" width="17.5" style="2" customWidth="1"/>
    <col min="1285" max="1285" width="12.25" style="2" customWidth="1"/>
    <col min="1286" max="1534" width="13.9166666666667" style="2"/>
    <col min="1535" max="1535" width="14" style="2" customWidth="1"/>
    <col min="1536" max="1536" width="19.1666666666667" style="2" customWidth="1"/>
    <col min="1537" max="1537" width="17.6666666666667" style="2" customWidth="1"/>
    <col min="1538" max="1538" width="15.25" style="2" customWidth="1"/>
    <col min="1539" max="1539" width="16.6666666666667" style="2" customWidth="1"/>
    <col min="1540" max="1540" width="17.5" style="2" customWidth="1"/>
    <col min="1541" max="1541" width="12.25" style="2" customWidth="1"/>
    <col min="1542" max="1790" width="13.9166666666667" style="2"/>
    <col min="1791" max="1791" width="14" style="2" customWidth="1"/>
    <col min="1792" max="1792" width="19.1666666666667" style="2" customWidth="1"/>
    <col min="1793" max="1793" width="17.6666666666667" style="2" customWidth="1"/>
    <col min="1794" max="1794" width="15.25" style="2" customWidth="1"/>
    <col min="1795" max="1795" width="16.6666666666667" style="2" customWidth="1"/>
    <col min="1796" max="1796" width="17.5" style="2" customWidth="1"/>
    <col min="1797" max="1797" width="12.25" style="2" customWidth="1"/>
    <col min="1798" max="2046" width="13.9166666666667" style="2"/>
    <col min="2047" max="2047" width="14" style="2" customWidth="1"/>
    <col min="2048" max="2048" width="19.1666666666667" style="2" customWidth="1"/>
    <col min="2049" max="2049" width="17.6666666666667" style="2" customWidth="1"/>
    <col min="2050" max="2050" width="15.25" style="2" customWidth="1"/>
    <col min="2051" max="2051" width="16.6666666666667" style="2" customWidth="1"/>
    <col min="2052" max="2052" width="17.5" style="2" customWidth="1"/>
    <col min="2053" max="2053" width="12.25" style="2" customWidth="1"/>
    <col min="2054" max="2302" width="13.9166666666667" style="2"/>
    <col min="2303" max="2303" width="14" style="2" customWidth="1"/>
    <col min="2304" max="2304" width="19.1666666666667" style="2" customWidth="1"/>
    <col min="2305" max="2305" width="17.6666666666667" style="2" customWidth="1"/>
    <col min="2306" max="2306" width="15.25" style="2" customWidth="1"/>
    <col min="2307" max="2307" width="16.6666666666667" style="2" customWidth="1"/>
    <col min="2308" max="2308" width="17.5" style="2" customWidth="1"/>
    <col min="2309" max="2309" width="12.25" style="2" customWidth="1"/>
    <col min="2310" max="2558" width="13.9166666666667" style="2"/>
    <col min="2559" max="2559" width="14" style="2" customWidth="1"/>
    <col min="2560" max="2560" width="19.1666666666667" style="2" customWidth="1"/>
    <col min="2561" max="2561" width="17.6666666666667" style="2" customWidth="1"/>
    <col min="2562" max="2562" width="15.25" style="2" customWidth="1"/>
    <col min="2563" max="2563" width="16.6666666666667" style="2" customWidth="1"/>
    <col min="2564" max="2564" width="17.5" style="2" customWidth="1"/>
    <col min="2565" max="2565" width="12.25" style="2" customWidth="1"/>
    <col min="2566" max="2814" width="13.9166666666667" style="2"/>
    <col min="2815" max="2815" width="14" style="2" customWidth="1"/>
    <col min="2816" max="2816" width="19.1666666666667" style="2" customWidth="1"/>
    <col min="2817" max="2817" width="17.6666666666667" style="2" customWidth="1"/>
    <col min="2818" max="2818" width="15.25" style="2" customWidth="1"/>
    <col min="2819" max="2819" width="16.6666666666667" style="2" customWidth="1"/>
    <col min="2820" max="2820" width="17.5" style="2" customWidth="1"/>
    <col min="2821" max="2821" width="12.25" style="2" customWidth="1"/>
    <col min="2822" max="3070" width="13.9166666666667" style="2"/>
    <col min="3071" max="3071" width="14" style="2" customWidth="1"/>
    <col min="3072" max="3072" width="19.1666666666667" style="2" customWidth="1"/>
    <col min="3073" max="3073" width="17.6666666666667" style="2" customWidth="1"/>
    <col min="3074" max="3074" width="15.25" style="2" customWidth="1"/>
    <col min="3075" max="3075" width="16.6666666666667" style="2" customWidth="1"/>
    <col min="3076" max="3076" width="17.5" style="2" customWidth="1"/>
    <col min="3077" max="3077" width="12.25" style="2" customWidth="1"/>
    <col min="3078" max="3326" width="13.9166666666667" style="2"/>
    <col min="3327" max="3327" width="14" style="2" customWidth="1"/>
    <col min="3328" max="3328" width="19.1666666666667" style="2" customWidth="1"/>
    <col min="3329" max="3329" width="17.6666666666667" style="2" customWidth="1"/>
    <col min="3330" max="3330" width="15.25" style="2" customWidth="1"/>
    <col min="3331" max="3331" width="16.6666666666667" style="2" customWidth="1"/>
    <col min="3332" max="3332" width="17.5" style="2" customWidth="1"/>
    <col min="3333" max="3333" width="12.25" style="2" customWidth="1"/>
    <col min="3334" max="3582" width="13.9166666666667" style="2"/>
    <col min="3583" max="3583" width="14" style="2" customWidth="1"/>
    <col min="3584" max="3584" width="19.1666666666667" style="2" customWidth="1"/>
    <col min="3585" max="3585" width="17.6666666666667" style="2" customWidth="1"/>
    <col min="3586" max="3586" width="15.25" style="2" customWidth="1"/>
    <col min="3587" max="3587" width="16.6666666666667" style="2" customWidth="1"/>
    <col min="3588" max="3588" width="17.5" style="2" customWidth="1"/>
    <col min="3589" max="3589" width="12.25" style="2" customWidth="1"/>
    <col min="3590" max="3838" width="13.9166666666667" style="2"/>
    <col min="3839" max="3839" width="14" style="2" customWidth="1"/>
    <col min="3840" max="3840" width="19.1666666666667" style="2" customWidth="1"/>
    <col min="3841" max="3841" width="17.6666666666667" style="2" customWidth="1"/>
    <col min="3842" max="3842" width="15.25" style="2" customWidth="1"/>
    <col min="3843" max="3843" width="16.6666666666667" style="2" customWidth="1"/>
    <col min="3844" max="3844" width="17.5" style="2" customWidth="1"/>
    <col min="3845" max="3845" width="12.25" style="2" customWidth="1"/>
    <col min="3846" max="4094" width="13.9166666666667" style="2"/>
    <col min="4095" max="4095" width="14" style="2" customWidth="1"/>
    <col min="4096" max="4096" width="19.1666666666667" style="2" customWidth="1"/>
    <col min="4097" max="4097" width="17.6666666666667" style="2" customWidth="1"/>
    <col min="4098" max="4098" width="15.25" style="2" customWidth="1"/>
    <col min="4099" max="4099" width="16.6666666666667" style="2" customWidth="1"/>
    <col min="4100" max="4100" width="17.5" style="2" customWidth="1"/>
    <col min="4101" max="4101" width="12.25" style="2" customWidth="1"/>
    <col min="4102" max="4350" width="13.9166666666667" style="2"/>
    <col min="4351" max="4351" width="14" style="2" customWidth="1"/>
    <col min="4352" max="4352" width="19.1666666666667" style="2" customWidth="1"/>
    <col min="4353" max="4353" width="17.6666666666667" style="2" customWidth="1"/>
    <col min="4354" max="4354" width="15.25" style="2" customWidth="1"/>
    <col min="4355" max="4355" width="16.6666666666667" style="2" customWidth="1"/>
    <col min="4356" max="4356" width="17.5" style="2" customWidth="1"/>
    <col min="4357" max="4357" width="12.25" style="2" customWidth="1"/>
    <col min="4358" max="4606" width="13.9166666666667" style="2"/>
    <col min="4607" max="4607" width="14" style="2" customWidth="1"/>
    <col min="4608" max="4608" width="19.1666666666667" style="2" customWidth="1"/>
    <col min="4609" max="4609" width="17.6666666666667" style="2" customWidth="1"/>
    <col min="4610" max="4610" width="15.25" style="2" customWidth="1"/>
    <col min="4611" max="4611" width="16.6666666666667" style="2" customWidth="1"/>
    <col min="4612" max="4612" width="17.5" style="2" customWidth="1"/>
    <col min="4613" max="4613" width="12.25" style="2" customWidth="1"/>
    <col min="4614" max="4862" width="13.9166666666667" style="2"/>
    <col min="4863" max="4863" width="14" style="2" customWidth="1"/>
    <col min="4864" max="4864" width="19.1666666666667" style="2" customWidth="1"/>
    <col min="4865" max="4865" width="17.6666666666667" style="2" customWidth="1"/>
    <col min="4866" max="4866" width="15.25" style="2" customWidth="1"/>
    <col min="4867" max="4867" width="16.6666666666667" style="2" customWidth="1"/>
    <col min="4868" max="4868" width="17.5" style="2" customWidth="1"/>
    <col min="4869" max="4869" width="12.25" style="2" customWidth="1"/>
    <col min="4870" max="5118" width="13.9166666666667" style="2"/>
    <col min="5119" max="5119" width="14" style="2" customWidth="1"/>
    <col min="5120" max="5120" width="19.1666666666667" style="2" customWidth="1"/>
    <col min="5121" max="5121" width="17.6666666666667" style="2" customWidth="1"/>
    <col min="5122" max="5122" width="15.25" style="2" customWidth="1"/>
    <col min="5123" max="5123" width="16.6666666666667" style="2" customWidth="1"/>
    <col min="5124" max="5124" width="17.5" style="2" customWidth="1"/>
    <col min="5125" max="5125" width="12.25" style="2" customWidth="1"/>
    <col min="5126" max="5374" width="13.9166666666667" style="2"/>
    <col min="5375" max="5375" width="14" style="2" customWidth="1"/>
    <col min="5376" max="5376" width="19.1666666666667" style="2" customWidth="1"/>
    <col min="5377" max="5377" width="17.6666666666667" style="2" customWidth="1"/>
    <col min="5378" max="5378" width="15.25" style="2" customWidth="1"/>
    <col min="5379" max="5379" width="16.6666666666667" style="2" customWidth="1"/>
    <col min="5380" max="5380" width="17.5" style="2" customWidth="1"/>
    <col min="5381" max="5381" width="12.25" style="2" customWidth="1"/>
    <col min="5382" max="5630" width="13.9166666666667" style="2"/>
    <col min="5631" max="5631" width="14" style="2" customWidth="1"/>
    <col min="5632" max="5632" width="19.1666666666667" style="2" customWidth="1"/>
    <col min="5633" max="5633" width="17.6666666666667" style="2" customWidth="1"/>
    <col min="5634" max="5634" width="15.25" style="2" customWidth="1"/>
    <col min="5635" max="5635" width="16.6666666666667" style="2" customWidth="1"/>
    <col min="5636" max="5636" width="17.5" style="2" customWidth="1"/>
    <col min="5637" max="5637" width="12.25" style="2" customWidth="1"/>
    <col min="5638" max="5886" width="13.9166666666667" style="2"/>
    <col min="5887" max="5887" width="14" style="2" customWidth="1"/>
    <col min="5888" max="5888" width="19.1666666666667" style="2" customWidth="1"/>
    <col min="5889" max="5889" width="17.6666666666667" style="2" customWidth="1"/>
    <col min="5890" max="5890" width="15.25" style="2" customWidth="1"/>
    <col min="5891" max="5891" width="16.6666666666667" style="2" customWidth="1"/>
    <col min="5892" max="5892" width="17.5" style="2" customWidth="1"/>
    <col min="5893" max="5893" width="12.25" style="2" customWidth="1"/>
    <col min="5894" max="6142" width="13.9166666666667" style="2"/>
    <col min="6143" max="6143" width="14" style="2" customWidth="1"/>
    <col min="6144" max="6144" width="19.1666666666667" style="2" customWidth="1"/>
    <col min="6145" max="6145" width="17.6666666666667" style="2" customWidth="1"/>
    <col min="6146" max="6146" width="15.25" style="2" customWidth="1"/>
    <col min="6147" max="6147" width="16.6666666666667" style="2" customWidth="1"/>
    <col min="6148" max="6148" width="17.5" style="2" customWidth="1"/>
    <col min="6149" max="6149" width="12.25" style="2" customWidth="1"/>
    <col min="6150" max="6398" width="13.9166666666667" style="2"/>
    <col min="6399" max="6399" width="14" style="2" customWidth="1"/>
    <col min="6400" max="6400" width="19.1666666666667" style="2" customWidth="1"/>
    <col min="6401" max="6401" width="17.6666666666667" style="2" customWidth="1"/>
    <col min="6402" max="6402" width="15.25" style="2" customWidth="1"/>
    <col min="6403" max="6403" width="16.6666666666667" style="2" customWidth="1"/>
    <col min="6404" max="6404" width="17.5" style="2" customWidth="1"/>
    <col min="6405" max="6405" width="12.25" style="2" customWidth="1"/>
    <col min="6406" max="6654" width="13.9166666666667" style="2"/>
    <col min="6655" max="6655" width="14" style="2" customWidth="1"/>
    <col min="6656" max="6656" width="19.1666666666667" style="2" customWidth="1"/>
    <col min="6657" max="6657" width="17.6666666666667" style="2" customWidth="1"/>
    <col min="6658" max="6658" width="15.25" style="2" customWidth="1"/>
    <col min="6659" max="6659" width="16.6666666666667" style="2" customWidth="1"/>
    <col min="6660" max="6660" width="17.5" style="2" customWidth="1"/>
    <col min="6661" max="6661" width="12.25" style="2" customWidth="1"/>
    <col min="6662" max="6910" width="13.9166666666667" style="2"/>
    <col min="6911" max="6911" width="14" style="2" customWidth="1"/>
    <col min="6912" max="6912" width="19.1666666666667" style="2" customWidth="1"/>
    <col min="6913" max="6913" width="17.6666666666667" style="2" customWidth="1"/>
    <col min="6914" max="6914" width="15.25" style="2" customWidth="1"/>
    <col min="6915" max="6915" width="16.6666666666667" style="2" customWidth="1"/>
    <col min="6916" max="6916" width="17.5" style="2" customWidth="1"/>
    <col min="6917" max="6917" width="12.25" style="2" customWidth="1"/>
    <col min="6918" max="7166" width="13.9166666666667" style="2"/>
    <col min="7167" max="7167" width="14" style="2" customWidth="1"/>
    <col min="7168" max="7168" width="19.1666666666667" style="2" customWidth="1"/>
    <col min="7169" max="7169" width="17.6666666666667" style="2" customWidth="1"/>
    <col min="7170" max="7170" width="15.25" style="2" customWidth="1"/>
    <col min="7171" max="7171" width="16.6666666666667" style="2" customWidth="1"/>
    <col min="7172" max="7172" width="17.5" style="2" customWidth="1"/>
    <col min="7173" max="7173" width="12.25" style="2" customWidth="1"/>
    <col min="7174" max="7422" width="13.9166666666667" style="2"/>
    <col min="7423" max="7423" width="14" style="2" customWidth="1"/>
    <col min="7424" max="7424" width="19.1666666666667" style="2" customWidth="1"/>
    <col min="7425" max="7425" width="17.6666666666667" style="2" customWidth="1"/>
    <col min="7426" max="7426" width="15.25" style="2" customWidth="1"/>
    <col min="7427" max="7427" width="16.6666666666667" style="2" customWidth="1"/>
    <col min="7428" max="7428" width="17.5" style="2" customWidth="1"/>
    <col min="7429" max="7429" width="12.25" style="2" customWidth="1"/>
    <col min="7430" max="7678" width="13.9166666666667" style="2"/>
    <col min="7679" max="7679" width="14" style="2" customWidth="1"/>
    <col min="7680" max="7680" width="19.1666666666667" style="2" customWidth="1"/>
    <col min="7681" max="7681" width="17.6666666666667" style="2" customWidth="1"/>
    <col min="7682" max="7682" width="15.25" style="2" customWidth="1"/>
    <col min="7683" max="7683" width="16.6666666666667" style="2" customWidth="1"/>
    <col min="7684" max="7684" width="17.5" style="2" customWidth="1"/>
    <col min="7685" max="7685" width="12.25" style="2" customWidth="1"/>
    <col min="7686" max="7934" width="13.9166666666667" style="2"/>
    <col min="7935" max="7935" width="14" style="2" customWidth="1"/>
    <col min="7936" max="7936" width="19.1666666666667" style="2" customWidth="1"/>
    <col min="7937" max="7937" width="17.6666666666667" style="2" customWidth="1"/>
    <col min="7938" max="7938" width="15.25" style="2" customWidth="1"/>
    <col min="7939" max="7939" width="16.6666666666667" style="2" customWidth="1"/>
    <col min="7940" max="7940" width="17.5" style="2" customWidth="1"/>
    <col min="7941" max="7941" width="12.25" style="2" customWidth="1"/>
    <col min="7942" max="8190" width="13.9166666666667" style="2"/>
    <col min="8191" max="8191" width="14" style="2" customWidth="1"/>
    <col min="8192" max="8192" width="19.1666666666667" style="2" customWidth="1"/>
    <col min="8193" max="8193" width="17.6666666666667" style="2" customWidth="1"/>
    <col min="8194" max="8194" width="15.25" style="2" customWidth="1"/>
    <col min="8195" max="8195" width="16.6666666666667" style="2" customWidth="1"/>
    <col min="8196" max="8196" width="17.5" style="2" customWidth="1"/>
    <col min="8197" max="8197" width="12.25" style="2" customWidth="1"/>
    <col min="8198" max="8446" width="13.9166666666667" style="2"/>
    <col min="8447" max="8447" width="14" style="2" customWidth="1"/>
    <col min="8448" max="8448" width="19.1666666666667" style="2" customWidth="1"/>
    <col min="8449" max="8449" width="17.6666666666667" style="2" customWidth="1"/>
    <col min="8450" max="8450" width="15.25" style="2" customWidth="1"/>
    <col min="8451" max="8451" width="16.6666666666667" style="2" customWidth="1"/>
    <col min="8452" max="8452" width="17.5" style="2" customWidth="1"/>
    <col min="8453" max="8453" width="12.25" style="2" customWidth="1"/>
    <col min="8454" max="8702" width="13.9166666666667" style="2"/>
    <col min="8703" max="8703" width="14" style="2" customWidth="1"/>
    <col min="8704" max="8704" width="19.1666666666667" style="2" customWidth="1"/>
    <col min="8705" max="8705" width="17.6666666666667" style="2" customWidth="1"/>
    <col min="8706" max="8706" width="15.25" style="2" customWidth="1"/>
    <col min="8707" max="8707" width="16.6666666666667" style="2" customWidth="1"/>
    <col min="8708" max="8708" width="17.5" style="2" customWidth="1"/>
    <col min="8709" max="8709" width="12.25" style="2" customWidth="1"/>
    <col min="8710" max="8958" width="13.9166666666667" style="2"/>
    <col min="8959" max="8959" width="14" style="2" customWidth="1"/>
    <col min="8960" max="8960" width="19.1666666666667" style="2" customWidth="1"/>
    <col min="8961" max="8961" width="17.6666666666667" style="2" customWidth="1"/>
    <col min="8962" max="8962" width="15.25" style="2" customWidth="1"/>
    <col min="8963" max="8963" width="16.6666666666667" style="2" customWidth="1"/>
    <col min="8964" max="8964" width="17.5" style="2" customWidth="1"/>
    <col min="8965" max="8965" width="12.25" style="2" customWidth="1"/>
    <col min="8966" max="9214" width="13.9166666666667" style="2"/>
    <col min="9215" max="9215" width="14" style="2" customWidth="1"/>
    <col min="9216" max="9216" width="19.1666666666667" style="2" customWidth="1"/>
    <col min="9217" max="9217" width="17.6666666666667" style="2" customWidth="1"/>
    <col min="9218" max="9218" width="15.25" style="2" customWidth="1"/>
    <col min="9219" max="9219" width="16.6666666666667" style="2" customWidth="1"/>
    <col min="9220" max="9220" width="17.5" style="2" customWidth="1"/>
    <col min="9221" max="9221" width="12.25" style="2" customWidth="1"/>
    <col min="9222" max="9470" width="13.9166666666667" style="2"/>
    <col min="9471" max="9471" width="14" style="2" customWidth="1"/>
    <col min="9472" max="9472" width="19.1666666666667" style="2" customWidth="1"/>
    <col min="9473" max="9473" width="17.6666666666667" style="2" customWidth="1"/>
    <col min="9474" max="9474" width="15.25" style="2" customWidth="1"/>
    <col min="9475" max="9475" width="16.6666666666667" style="2" customWidth="1"/>
    <col min="9476" max="9476" width="17.5" style="2" customWidth="1"/>
    <col min="9477" max="9477" width="12.25" style="2" customWidth="1"/>
    <col min="9478" max="9726" width="13.9166666666667" style="2"/>
    <col min="9727" max="9727" width="14" style="2" customWidth="1"/>
    <col min="9728" max="9728" width="19.1666666666667" style="2" customWidth="1"/>
    <col min="9729" max="9729" width="17.6666666666667" style="2" customWidth="1"/>
    <col min="9730" max="9730" width="15.25" style="2" customWidth="1"/>
    <col min="9731" max="9731" width="16.6666666666667" style="2" customWidth="1"/>
    <col min="9732" max="9732" width="17.5" style="2" customWidth="1"/>
    <col min="9733" max="9733" width="12.25" style="2" customWidth="1"/>
    <col min="9734" max="9982" width="13.9166666666667" style="2"/>
    <col min="9983" max="9983" width="14" style="2" customWidth="1"/>
    <col min="9984" max="9984" width="19.1666666666667" style="2" customWidth="1"/>
    <col min="9985" max="9985" width="17.6666666666667" style="2" customWidth="1"/>
    <col min="9986" max="9986" width="15.25" style="2" customWidth="1"/>
    <col min="9987" max="9987" width="16.6666666666667" style="2" customWidth="1"/>
    <col min="9988" max="9988" width="17.5" style="2" customWidth="1"/>
    <col min="9989" max="9989" width="12.25" style="2" customWidth="1"/>
    <col min="9990" max="10238" width="13.9166666666667" style="2"/>
    <col min="10239" max="10239" width="14" style="2" customWidth="1"/>
    <col min="10240" max="10240" width="19.1666666666667" style="2" customWidth="1"/>
    <col min="10241" max="10241" width="17.6666666666667" style="2" customWidth="1"/>
    <col min="10242" max="10242" width="15.25" style="2" customWidth="1"/>
    <col min="10243" max="10243" width="16.6666666666667" style="2" customWidth="1"/>
    <col min="10244" max="10244" width="17.5" style="2" customWidth="1"/>
    <col min="10245" max="10245" width="12.25" style="2" customWidth="1"/>
    <col min="10246" max="10494" width="13.9166666666667" style="2"/>
    <col min="10495" max="10495" width="14" style="2" customWidth="1"/>
    <col min="10496" max="10496" width="19.1666666666667" style="2" customWidth="1"/>
    <col min="10497" max="10497" width="17.6666666666667" style="2" customWidth="1"/>
    <col min="10498" max="10498" width="15.25" style="2" customWidth="1"/>
    <col min="10499" max="10499" width="16.6666666666667" style="2" customWidth="1"/>
    <col min="10500" max="10500" width="17.5" style="2" customWidth="1"/>
    <col min="10501" max="10501" width="12.25" style="2" customWidth="1"/>
    <col min="10502" max="10750" width="13.9166666666667" style="2"/>
    <col min="10751" max="10751" width="14" style="2" customWidth="1"/>
    <col min="10752" max="10752" width="19.1666666666667" style="2" customWidth="1"/>
    <col min="10753" max="10753" width="17.6666666666667" style="2" customWidth="1"/>
    <col min="10754" max="10754" width="15.25" style="2" customWidth="1"/>
    <col min="10755" max="10755" width="16.6666666666667" style="2" customWidth="1"/>
    <col min="10756" max="10756" width="17.5" style="2" customWidth="1"/>
    <col min="10757" max="10757" width="12.25" style="2" customWidth="1"/>
    <col min="10758" max="11006" width="13.9166666666667" style="2"/>
    <col min="11007" max="11007" width="14" style="2" customWidth="1"/>
    <col min="11008" max="11008" width="19.1666666666667" style="2" customWidth="1"/>
    <col min="11009" max="11009" width="17.6666666666667" style="2" customWidth="1"/>
    <col min="11010" max="11010" width="15.25" style="2" customWidth="1"/>
    <col min="11011" max="11011" width="16.6666666666667" style="2" customWidth="1"/>
    <col min="11012" max="11012" width="17.5" style="2" customWidth="1"/>
    <col min="11013" max="11013" width="12.25" style="2" customWidth="1"/>
    <col min="11014" max="11262" width="13.9166666666667" style="2"/>
    <col min="11263" max="11263" width="14" style="2" customWidth="1"/>
    <col min="11264" max="11264" width="19.1666666666667" style="2" customWidth="1"/>
    <col min="11265" max="11265" width="17.6666666666667" style="2" customWidth="1"/>
    <col min="11266" max="11266" width="15.25" style="2" customWidth="1"/>
    <col min="11267" max="11267" width="16.6666666666667" style="2" customWidth="1"/>
    <col min="11268" max="11268" width="17.5" style="2" customWidth="1"/>
    <col min="11269" max="11269" width="12.25" style="2" customWidth="1"/>
    <col min="11270" max="11518" width="13.9166666666667" style="2"/>
    <col min="11519" max="11519" width="14" style="2" customWidth="1"/>
    <col min="11520" max="11520" width="19.1666666666667" style="2" customWidth="1"/>
    <col min="11521" max="11521" width="17.6666666666667" style="2" customWidth="1"/>
    <col min="11522" max="11522" width="15.25" style="2" customWidth="1"/>
    <col min="11523" max="11523" width="16.6666666666667" style="2" customWidth="1"/>
    <col min="11524" max="11524" width="17.5" style="2" customWidth="1"/>
    <col min="11525" max="11525" width="12.25" style="2" customWidth="1"/>
    <col min="11526" max="11774" width="13.9166666666667" style="2"/>
    <col min="11775" max="11775" width="14" style="2" customWidth="1"/>
    <col min="11776" max="11776" width="19.1666666666667" style="2" customWidth="1"/>
    <col min="11777" max="11777" width="17.6666666666667" style="2" customWidth="1"/>
    <col min="11778" max="11778" width="15.25" style="2" customWidth="1"/>
    <col min="11779" max="11779" width="16.6666666666667" style="2" customWidth="1"/>
    <col min="11780" max="11780" width="17.5" style="2" customWidth="1"/>
    <col min="11781" max="11781" width="12.25" style="2" customWidth="1"/>
    <col min="11782" max="12030" width="13.9166666666667" style="2"/>
    <col min="12031" max="12031" width="14" style="2" customWidth="1"/>
    <col min="12032" max="12032" width="19.1666666666667" style="2" customWidth="1"/>
    <col min="12033" max="12033" width="17.6666666666667" style="2" customWidth="1"/>
    <col min="12034" max="12034" width="15.25" style="2" customWidth="1"/>
    <col min="12035" max="12035" width="16.6666666666667" style="2" customWidth="1"/>
    <col min="12036" max="12036" width="17.5" style="2" customWidth="1"/>
    <col min="12037" max="12037" width="12.25" style="2" customWidth="1"/>
    <col min="12038" max="12286" width="13.9166666666667" style="2"/>
    <col min="12287" max="12287" width="14" style="2" customWidth="1"/>
    <col min="12288" max="12288" width="19.1666666666667" style="2" customWidth="1"/>
    <col min="12289" max="12289" width="17.6666666666667" style="2" customWidth="1"/>
    <col min="12290" max="12290" width="15.25" style="2" customWidth="1"/>
    <col min="12291" max="12291" width="16.6666666666667" style="2" customWidth="1"/>
    <col min="12292" max="12292" width="17.5" style="2" customWidth="1"/>
    <col min="12293" max="12293" width="12.25" style="2" customWidth="1"/>
    <col min="12294" max="12542" width="13.9166666666667" style="2"/>
    <col min="12543" max="12543" width="14" style="2" customWidth="1"/>
    <col min="12544" max="12544" width="19.1666666666667" style="2" customWidth="1"/>
    <col min="12545" max="12545" width="17.6666666666667" style="2" customWidth="1"/>
    <col min="12546" max="12546" width="15.25" style="2" customWidth="1"/>
    <col min="12547" max="12547" width="16.6666666666667" style="2" customWidth="1"/>
    <col min="12548" max="12548" width="17.5" style="2" customWidth="1"/>
    <col min="12549" max="12549" width="12.25" style="2" customWidth="1"/>
    <col min="12550" max="12798" width="13.9166666666667" style="2"/>
    <col min="12799" max="12799" width="14" style="2" customWidth="1"/>
    <col min="12800" max="12800" width="19.1666666666667" style="2" customWidth="1"/>
    <col min="12801" max="12801" width="17.6666666666667" style="2" customWidth="1"/>
    <col min="12802" max="12802" width="15.25" style="2" customWidth="1"/>
    <col min="12803" max="12803" width="16.6666666666667" style="2" customWidth="1"/>
    <col min="12804" max="12804" width="17.5" style="2" customWidth="1"/>
    <col min="12805" max="12805" width="12.25" style="2" customWidth="1"/>
    <col min="12806" max="13054" width="13.9166666666667" style="2"/>
    <col min="13055" max="13055" width="14" style="2" customWidth="1"/>
    <col min="13056" max="13056" width="19.1666666666667" style="2" customWidth="1"/>
    <col min="13057" max="13057" width="17.6666666666667" style="2" customWidth="1"/>
    <col min="13058" max="13058" width="15.25" style="2" customWidth="1"/>
    <col min="13059" max="13059" width="16.6666666666667" style="2" customWidth="1"/>
    <col min="13060" max="13060" width="17.5" style="2" customWidth="1"/>
    <col min="13061" max="13061" width="12.25" style="2" customWidth="1"/>
    <col min="13062" max="13310" width="13.9166666666667" style="2"/>
    <col min="13311" max="13311" width="14" style="2" customWidth="1"/>
    <col min="13312" max="13312" width="19.1666666666667" style="2" customWidth="1"/>
    <col min="13313" max="13313" width="17.6666666666667" style="2" customWidth="1"/>
    <col min="13314" max="13314" width="15.25" style="2" customWidth="1"/>
    <col min="13315" max="13315" width="16.6666666666667" style="2" customWidth="1"/>
    <col min="13316" max="13316" width="17.5" style="2" customWidth="1"/>
    <col min="13317" max="13317" width="12.25" style="2" customWidth="1"/>
    <col min="13318" max="13566" width="13.9166666666667" style="2"/>
    <col min="13567" max="13567" width="14" style="2" customWidth="1"/>
    <col min="13568" max="13568" width="19.1666666666667" style="2" customWidth="1"/>
    <col min="13569" max="13569" width="17.6666666666667" style="2" customWidth="1"/>
    <col min="13570" max="13570" width="15.25" style="2" customWidth="1"/>
    <col min="13571" max="13571" width="16.6666666666667" style="2" customWidth="1"/>
    <col min="13572" max="13572" width="17.5" style="2" customWidth="1"/>
    <col min="13573" max="13573" width="12.25" style="2" customWidth="1"/>
    <col min="13574" max="13822" width="13.9166666666667" style="2"/>
    <col min="13823" max="13823" width="14" style="2" customWidth="1"/>
    <col min="13824" max="13824" width="19.1666666666667" style="2" customWidth="1"/>
    <col min="13825" max="13825" width="17.6666666666667" style="2" customWidth="1"/>
    <col min="13826" max="13826" width="15.25" style="2" customWidth="1"/>
    <col min="13827" max="13827" width="16.6666666666667" style="2" customWidth="1"/>
    <col min="13828" max="13828" width="17.5" style="2" customWidth="1"/>
    <col min="13829" max="13829" width="12.25" style="2" customWidth="1"/>
    <col min="13830" max="14078" width="13.9166666666667" style="2"/>
    <col min="14079" max="14079" width="14" style="2" customWidth="1"/>
    <col min="14080" max="14080" width="19.1666666666667" style="2" customWidth="1"/>
    <col min="14081" max="14081" width="17.6666666666667" style="2" customWidth="1"/>
    <col min="14082" max="14082" width="15.25" style="2" customWidth="1"/>
    <col min="14083" max="14083" width="16.6666666666667" style="2" customWidth="1"/>
    <col min="14084" max="14084" width="17.5" style="2" customWidth="1"/>
    <col min="14085" max="14085" width="12.25" style="2" customWidth="1"/>
    <col min="14086" max="14334" width="13.9166666666667" style="2"/>
    <col min="14335" max="14335" width="14" style="2" customWidth="1"/>
    <col min="14336" max="14336" width="19.1666666666667" style="2" customWidth="1"/>
    <col min="14337" max="14337" width="17.6666666666667" style="2" customWidth="1"/>
    <col min="14338" max="14338" width="15.25" style="2" customWidth="1"/>
    <col min="14339" max="14339" width="16.6666666666667" style="2" customWidth="1"/>
    <col min="14340" max="14340" width="17.5" style="2" customWidth="1"/>
    <col min="14341" max="14341" width="12.25" style="2" customWidth="1"/>
    <col min="14342" max="14590" width="13.9166666666667" style="2"/>
    <col min="14591" max="14591" width="14" style="2" customWidth="1"/>
    <col min="14592" max="14592" width="19.1666666666667" style="2" customWidth="1"/>
    <col min="14593" max="14593" width="17.6666666666667" style="2" customWidth="1"/>
    <col min="14594" max="14594" width="15.25" style="2" customWidth="1"/>
    <col min="14595" max="14595" width="16.6666666666667" style="2" customWidth="1"/>
    <col min="14596" max="14596" width="17.5" style="2" customWidth="1"/>
    <col min="14597" max="14597" width="12.25" style="2" customWidth="1"/>
    <col min="14598" max="14846" width="13.9166666666667" style="2"/>
    <col min="14847" max="14847" width="14" style="2" customWidth="1"/>
    <col min="14848" max="14848" width="19.1666666666667" style="2" customWidth="1"/>
    <col min="14849" max="14849" width="17.6666666666667" style="2" customWidth="1"/>
    <col min="14850" max="14850" width="15.25" style="2" customWidth="1"/>
    <col min="14851" max="14851" width="16.6666666666667" style="2" customWidth="1"/>
    <col min="14852" max="14852" width="17.5" style="2" customWidth="1"/>
    <col min="14853" max="14853" width="12.25" style="2" customWidth="1"/>
    <col min="14854" max="15102" width="13.9166666666667" style="2"/>
    <col min="15103" max="15103" width="14" style="2" customWidth="1"/>
    <col min="15104" max="15104" width="19.1666666666667" style="2" customWidth="1"/>
    <col min="15105" max="15105" width="17.6666666666667" style="2" customWidth="1"/>
    <col min="15106" max="15106" width="15.25" style="2" customWidth="1"/>
    <col min="15107" max="15107" width="16.6666666666667" style="2" customWidth="1"/>
    <col min="15108" max="15108" width="17.5" style="2" customWidth="1"/>
    <col min="15109" max="15109" width="12.25" style="2" customWidth="1"/>
    <col min="15110" max="15358" width="13.9166666666667" style="2"/>
    <col min="15359" max="15359" width="14" style="2" customWidth="1"/>
    <col min="15360" max="15360" width="19.1666666666667" style="2" customWidth="1"/>
    <col min="15361" max="15361" width="17.6666666666667" style="2" customWidth="1"/>
    <col min="15362" max="15362" width="15.25" style="2" customWidth="1"/>
    <col min="15363" max="15363" width="16.6666666666667" style="2" customWidth="1"/>
    <col min="15364" max="15364" width="17.5" style="2" customWidth="1"/>
    <col min="15365" max="15365" width="12.25" style="2" customWidth="1"/>
    <col min="15366" max="15614" width="13.9166666666667" style="2"/>
    <col min="15615" max="15615" width="14" style="2" customWidth="1"/>
    <col min="15616" max="15616" width="19.1666666666667" style="2" customWidth="1"/>
    <col min="15617" max="15617" width="17.6666666666667" style="2" customWidth="1"/>
    <col min="15618" max="15618" width="15.25" style="2" customWidth="1"/>
    <col min="15619" max="15619" width="16.6666666666667" style="2" customWidth="1"/>
    <col min="15620" max="15620" width="17.5" style="2" customWidth="1"/>
    <col min="15621" max="15621" width="12.25" style="2" customWidth="1"/>
    <col min="15622" max="15870" width="13.9166666666667" style="2"/>
    <col min="15871" max="15871" width="14" style="2" customWidth="1"/>
    <col min="15872" max="15872" width="19.1666666666667" style="2" customWidth="1"/>
    <col min="15873" max="15873" width="17.6666666666667" style="2" customWidth="1"/>
    <col min="15874" max="15874" width="15.25" style="2" customWidth="1"/>
    <col min="15875" max="15875" width="16.6666666666667" style="2" customWidth="1"/>
    <col min="15876" max="15876" width="17.5" style="2" customWidth="1"/>
    <col min="15877" max="15877" width="12.25" style="2" customWidth="1"/>
    <col min="15878" max="16126" width="13.9166666666667" style="2"/>
    <col min="16127" max="16127" width="14" style="2" customWidth="1"/>
    <col min="16128" max="16128" width="19.1666666666667" style="2" customWidth="1"/>
    <col min="16129" max="16129" width="17.6666666666667" style="2" customWidth="1"/>
    <col min="16130" max="16130" width="15.25" style="2" customWidth="1"/>
    <col min="16131" max="16131" width="16.6666666666667" style="2" customWidth="1"/>
    <col min="16132" max="16132" width="17.5" style="2" customWidth="1"/>
    <col min="16133" max="16133" width="12.25" style="2" customWidth="1"/>
    <col min="16134" max="16384" width="13.9166666666667" style="2"/>
  </cols>
  <sheetData>
    <row r="1" customHeight="1" spans="1:1">
      <c r="A1" s="3"/>
    </row>
    <row r="2" s="1" customFormat="1" customHeight="1" spans="1:6">
      <c r="A2" s="4"/>
      <c r="B2" s="4" t="s">
        <v>54</v>
      </c>
      <c r="C2" s="4" t="s">
        <v>55</v>
      </c>
      <c r="D2" s="4" t="s">
        <v>56</v>
      </c>
      <c r="E2" s="4" t="s">
        <v>57</v>
      </c>
      <c r="F2" s="4" t="s">
        <v>58</v>
      </c>
    </row>
    <row r="3" customHeight="1" spans="1:6">
      <c r="A3" s="5" t="s">
        <v>59</v>
      </c>
      <c r="B3" s="6">
        <f>总表!F14</f>
        <v>0</v>
      </c>
      <c r="C3" s="6">
        <f>总表!F17</f>
        <v>0</v>
      </c>
      <c r="D3" s="5">
        <f>总表!F18</f>
        <v>0</v>
      </c>
      <c r="E3" s="6"/>
      <c r="F3" s="6"/>
    </row>
    <row r="4" customHeight="1" spans="1:6">
      <c r="A4" s="5" t="s">
        <v>60</v>
      </c>
      <c r="B4" s="6">
        <f>MAX(D9:D14)</f>
        <v>0</v>
      </c>
      <c r="C4" s="6">
        <f>MAX(E9:E14)</f>
        <v>0</v>
      </c>
      <c r="D4" s="6">
        <f>MAX(F9:F14)</f>
        <v>0</v>
      </c>
      <c r="E4" s="6">
        <v>1800</v>
      </c>
      <c r="F4" s="7">
        <f>SUM(B4:E4)</f>
        <v>1800</v>
      </c>
    </row>
    <row r="8" ht="37" customHeight="1" spans="1:6">
      <c r="A8" s="4" t="s">
        <v>61</v>
      </c>
      <c r="B8" s="4" t="s">
        <v>62</v>
      </c>
      <c r="C8" s="4" t="s">
        <v>63</v>
      </c>
      <c r="D8" s="4" t="s">
        <v>64</v>
      </c>
      <c r="E8" s="4" t="s">
        <v>65</v>
      </c>
      <c r="F8" s="5" t="s">
        <v>66</v>
      </c>
    </row>
    <row r="9" ht="22" customHeight="1" spans="1:6">
      <c r="A9" s="5">
        <v>1000000</v>
      </c>
      <c r="B9" s="5">
        <v>0</v>
      </c>
      <c r="C9" s="8">
        <v>0.008</v>
      </c>
      <c r="D9" s="6">
        <f>IF(B3&lt;=$A$9,B3*$C$9,0)</f>
        <v>0</v>
      </c>
      <c r="E9" s="6">
        <f>IF(C3&lt;=$A$9,C3*$C$9,0)</f>
        <v>0</v>
      </c>
      <c r="F9" s="6">
        <f>IF(D3&lt;=$A$9,D3*$C$9,0)</f>
        <v>0</v>
      </c>
    </row>
    <row r="10" customHeight="1" spans="1:6">
      <c r="A10" s="5">
        <v>5000000</v>
      </c>
      <c r="B10" s="9">
        <v>8000</v>
      </c>
      <c r="C10" s="8">
        <v>0.007</v>
      </c>
      <c r="D10" s="6">
        <f>IF(AND($A$9&lt;B3,B3&lt;=$A$10),($B$10+(B3-$A$9)*$C$10),0)</f>
        <v>0</v>
      </c>
      <c r="E10" s="6">
        <f>IF(AND($A$9&lt;C3,C3&lt;=$A$10),($B$10+(C3-$A$9)*$C$10),0)</f>
        <v>0</v>
      </c>
      <c r="F10" s="6">
        <f>IF(AND($A$9&lt;D3,D3&lt;=$A$10),($B$10+(D3-$A$9)*$C$10),0)</f>
        <v>0</v>
      </c>
    </row>
    <row r="11" customHeight="1" spans="1:6">
      <c r="A11" s="5">
        <v>10000000</v>
      </c>
      <c r="B11" s="9">
        <v>36000</v>
      </c>
      <c r="C11" s="8">
        <v>0.006</v>
      </c>
      <c r="D11" s="6">
        <f>IF(AND($A$10&lt;$B$3,$B$3&lt;=$A$11),($B$11+($B$3-$A$10)*$C$11),0)</f>
        <v>0</v>
      </c>
      <c r="E11" s="6">
        <f>IF(AND($A$10&lt;$C$3,$C$3&lt;=$A$11),($B$11+($C$3-$A$10)*$C$11),0)</f>
        <v>0</v>
      </c>
      <c r="F11" s="6">
        <f>IF(AND($A$10&lt;$D$3,$D$3&lt;=$A$11),($B$11+($D$3-$A$10)*$C$11),0)</f>
        <v>0</v>
      </c>
    </row>
    <row r="12" customHeight="1" spans="1:6">
      <c r="A12" s="5">
        <v>50000000</v>
      </c>
      <c r="B12" s="9">
        <v>66000</v>
      </c>
      <c r="C12" s="8">
        <v>0.0045</v>
      </c>
      <c r="D12" s="6">
        <f>IF(AND($A$11&lt;$B$3,$B$3&lt;=$A$12),($B$12+($B$3-$A$11)*$C$12),0)</f>
        <v>0</v>
      </c>
      <c r="E12" s="6">
        <f>IF(AND($A$11&lt;$C$3,$C$3&lt;=$A$12),($B$12+($C$3-$A$11)*$C$12),0)</f>
        <v>0</v>
      </c>
      <c r="F12" s="6">
        <f>IF(AND($A$11&lt;$D$3,$D$3&lt;=$A$12),($B$12+($D$3-$A$11)*$C$12),0)</f>
        <v>0</v>
      </c>
    </row>
    <row r="13" customHeight="1" spans="1:6">
      <c r="A13" s="5">
        <v>100000000</v>
      </c>
      <c r="B13" s="9">
        <v>246000</v>
      </c>
      <c r="C13" s="8">
        <v>0.0035</v>
      </c>
      <c r="D13" s="6">
        <f>IF(AND($A$12&lt;$B$3,$B$3&lt;=$A$13),($B$13+($B$3-$A$12)*$C$13),0)</f>
        <v>0</v>
      </c>
      <c r="E13" s="6">
        <f>IF(AND($A$12&lt;$C$3,$C$3&lt;=$A$13),($B$13+($C$3-$A$12)*$C$13),0)</f>
        <v>0</v>
      </c>
      <c r="F13" s="6">
        <f>IF(AND($A$12&lt;$D$3,$D$3&lt;=$A$13),($B$13+($D$3-$A$12)*$C$13),0)</f>
        <v>0</v>
      </c>
    </row>
    <row r="14" customHeight="1" spans="1:6">
      <c r="A14" s="5" t="s">
        <v>67</v>
      </c>
      <c r="B14" s="9">
        <v>421000</v>
      </c>
      <c r="C14" s="8">
        <v>0.0025</v>
      </c>
      <c r="D14" s="6">
        <f>IF($B$3&gt;$A$13,$B$14+($B$3-$A$13)*$C$14,0)</f>
        <v>0</v>
      </c>
      <c r="E14" s="6">
        <f>IF($C$3&gt;$A$13,$B$14+($C$3-$A$13)*$C$14,0)</f>
        <v>0</v>
      </c>
      <c r="F14" s="6">
        <f>IF($D$3&gt;$A$13,$B$14+($D$3-$A$13)*$C$14,0)</f>
        <v>0</v>
      </c>
    </row>
    <row r="16" customHeight="1" spans="1:5">
      <c r="A16" s="10" t="s">
        <v>68</v>
      </c>
      <c r="B16" s="11"/>
      <c r="C16" s="11"/>
      <c r="D16" s="11"/>
      <c r="E16" s="11"/>
    </row>
    <row r="17" customHeight="1" spans="1:1">
      <c r="A17" s="12"/>
    </row>
    <row r="18" customHeight="1" spans="1:1">
      <c r="A18" s="12"/>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3F8FC9E7-9E3E-4D00-BC07-C2C84DFACBCF}">
  <ds:schemaRefs/>
</ds:datastoreItem>
</file>

<file path=customXml/itemProps3.xml><?xml version="1.0" encoding="utf-8"?>
<ds:datastoreItem xmlns:ds="http://schemas.openxmlformats.org/officeDocument/2006/customXml" ds:itemID="{DC3875BF-13D6-4817-9B69-0B22B651B2C7}">
  <ds:schemaRefs/>
</ds:datastoreItem>
</file>

<file path=customXml/itemProps4.xml><?xml version="1.0" encoding="utf-8"?>
<ds:datastoreItem xmlns:ds="http://schemas.openxmlformats.org/officeDocument/2006/customXml" ds:itemID="{9F91F69C-6E8C-4246-BC25-297BFDC75D9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总表</vt:lpstr>
      <vt:lpstr>Sheet1</vt:lpstr>
      <vt:lpstr>审计费计算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一</cp:lastModifiedBy>
  <dcterms:created xsi:type="dcterms:W3CDTF">2020-05-25T17:50:00Z</dcterms:created>
  <dcterms:modified xsi:type="dcterms:W3CDTF">2026-02-03T06:57:47Z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2052-12.8.2.19315</vt:lpwstr>
  </property>
  <property fmtid="{D5CDD505-2E9C-101B-9397-08002B2CF9AE}" pid="3" name="ICV">
    <vt:lpwstr>BC11255DC07149BC855B53231F93BED5</vt:lpwstr>
  </property>
</Properties>
</file>