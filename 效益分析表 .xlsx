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 firstSheet="2" activeTab="2"/>
  </bookViews>
  <sheets>
    <sheet name="1-填表说明和指标解释" sheetId="13" r:id="rId1"/>
    <sheet name="2-ICT项目评估结果" sheetId="5" r:id="rId2"/>
    <sheet name="3-直接经济效益评估表" sheetId="11" r:id="rId3"/>
    <sheet name="4-专线及各产品预算表" sheetId="12" r:id="rId4"/>
    <sheet name="5-标准产品投入和公允价值核算细则（如有更新，以更新后的规则）" sheetId="1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phoenixl</author>
  </authors>
  <commentList>
    <comment ref="C33" authorId="0">
      <text>
        <r>
          <rPr>
            <sz val="12"/>
            <rFont val="宋体"/>
            <charset val="134"/>
          </rPr>
          <t>将未来有限期预期收益折算成现值的比率。</t>
        </r>
      </text>
    </comment>
    <comment ref="O33" authorId="0">
      <text>
        <r>
          <rPr>
            <sz val="12"/>
            <rFont val="宋体"/>
            <scheme val="minor"/>
            <charset val="0"/>
          </rPr>
          <t>^n表示n次方。</t>
        </r>
      </text>
    </comment>
    <comment ref="E44" authorId="0">
      <text>
        <r>
          <rPr>
            <sz val="12"/>
            <rFont val="宋体"/>
            <charset val="134"/>
          </rPr>
          <t>根据第1-10年的现金流（收入）和折现率而定的投资净现值。</t>
        </r>
      </text>
    </comment>
    <comment ref="G44" authorId="0">
      <text>
        <r>
          <rPr>
            <sz val="12"/>
            <rFont val="宋体"/>
            <scheme val="minor"/>
            <charset val="0"/>
          </rPr>
          <t>根据第1-10年的现金流（支出）和折现率而定的投资净现值。</t>
        </r>
      </text>
    </comment>
    <comment ref="S45" authorId="0">
      <text>
        <r>
          <rPr>
            <sz val="12"/>
            <rFont val="宋体"/>
            <scheme val="minor"/>
            <charset val="0"/>
          </rPr>
          <t>返回P34到Q43区域内，第Q46行第1列的内容。</t>
        </r>
      </text>
    </comment>
    <comment ref="T45" authorId="0">
      <text>
        <r>
          <rPr>
            <sz val="12"/>
            <rFont val="宋体"/>
            <scheme val="minor"/>
            <charset val="0"/>
          </rPr>
          <t>满足P34到P43区域中，表格内容等于T的行数，无匹配则返回0.</t>
        </r>
      </text>
    </comment>
    <comment ref="O52" authorId="0">
      <text>
        <r>
          <rPr>
            <sz val="12"/>
            <rFont val="宋体"/>
            <scheme val="minor"/>
            <charset val="0"/>
          </rPr>
          <t>^n表示n次方。</t>
        </r>
      </text>
    </comment>
    <comment ref="E63" authorId="0">
      <text>
        <r>
          <rPr>
            <sz val="12"/>
            <rFont val="宋体"/>
            <charset val="134"/>
          </rPr>
          <t>根据第1-10年的现金流（收入）和折现率而定的投资净现值。</t>
        </r>
      </text>
    </comment>
    <comment ref="G63" authorId="0">
      <text>
        <r>
          <rPr>
            <sz val="12"/>
            <rFont val="宋体"/>
            <scheme val="minor"/>
            <charset val="0"/>
          </rPr>
          <t>根据第1-10年的现金流（支出）和折现率而定的投资净现值。</t>
        </r>
      </text>
    </comment>
  </commentList>
</comments>
</file>

<file path=xl/sharedStrings.xml><?xml version="1.0" encoding="utf-8"?>
<sst xmlns="http://schemas.openxmlformats.org/spreadsheetml/2006/main" count="413" uniqueCount="286">
  <si>
    <t xml:space="preserve"> 填写规则</t>
  </si>
  <si>
    <t>一、“ICT投资效益评估表”共4部分，包括填表说明和指标解释、ICT项目评估结果、直接经济效益评估表、专线及产品预算表（建设+维护）。</t>
  </si>
  <si>
    <r>
      <rPr>
        <sz val="10"/>
        <rFont val="微软雅黑"/>
        <charset val="134"/>
      </rPr>
      <t>二、</t>
    </r>
    <r>
      <rPr>
        <b/>
        <sz val="10"/>
        <color rgb="FFFF0000"/>
        <rFont val="微软雅黑"/>
        <charset val="134"/>
      </rPr>
      <t>需填写部分</t>
    </r>
    <r>
      <rPr>
        <sz val="10"/>
        <rFont val="微软雅黑"/>
        <charset val="134"/>
      </rPr>
      <t>：ICT项目评估结果、直接经济效益评估表、专线及各产品预算表（建设+维护）。</t>
    </r>
  </si>
  <si>
    <r>
      <rPr>
        <sz val="10"/>
        <rFont val="微软雅黑"/>
        <charset val="134"/>
      </rPr>
      <t>三、</t>
    </r>
    <r>
      <rPr>
        <b/>
        <sz val="10"/>
        <rFont val="微软雅黑"/>
        <charset val="134"/>
      </rPr>
      <t>项目收入</t>
    </r>
    <r>
      <rPr>
        <sz val="10"/>
        <rFont val="微软雅黑"/>
        <charset val="134"/>
      </rPr>
      <t>：包含IT收入和CT收入。“合同约定收款”应为依据与客户方合同，在合同期限内我公司确认取得的收入总额。确认项目现金流入时，应考虑项目建设期及业务实际开通时间等因素，从实际产生收入之时开始计算各项收入，并按合同付费要求按年填写实际现金流。</t>
    </r>
  </si>
  <si>
    <r>
      <rPr>
        <sz val="10"/>
        <rFont val="微软雅黑"/>
        <charset val="134"/>
      </rPr>
      <t>四、</t>
    </r>
    <r>
      <rPr>
        <b/>
        <sz val="10"/>
        <rFont val="微软雅黑"/>
        <charset val="134"/>
      </rPr>
      <t>项目支出</t>
    </r>
    <r>
      <rPr>
        <sz val="10"/>
        <rFont val="微软雅黑"/>
        <charset val="134"/>
      </rPr>
      <t>：包含IT支出、CT支出和其他支出。 项目成本支出应完整考虑合同期内所有相关建设、维护、更新等费用，按实际支出发生时间计入项目现金流出。“IT部分支出”包括“建设/服务支出”、“运行维护费用”、“其他支出”。“运行维护费用”应包含合同期内的所有运行维护支出，包括维护费用、设备更新费用、等其他需由我公司支付的费用。原则上在与合作方签订ICT项目协议时，其维保条件应满足我公司与客户单位协议中的维护标准及时限要求。若合作方提供的维保不能满足业主需求，确需增加维保的，该部分的维保成本应包含在维护费用内。综合类成本，指社会渠道酬金、相关管理费用等；非本项目新增支出成本分摊指IT/CT的量纲、间接成本分摊。</t>
    </r>
  </si>
  <si>
    <t>五、请需求单位根据实际情况填写。</t>
  </si>
  <si>
    <t>指标解释</t>
  </si>
  <si>
    <t>序号</t>
  </si>
  <si>
    <t>指标名称</t>
  </si>
  <si>
    <t>评价体系</t>
  </si>
  <si>
    <t>定义</t>
  </si>
  <si>
    <t>计算方法</t>
  </si>
  <si>
    <t>项目净现值</t>
  </si>
  <si>
    <t>集团/省内要求指标</t>
  </si>
  <si>
    <t>项目未来现金流入现值与未来现金流出现值的差额</t>
  </si>
  <si>
    <t>项目现金流入现值-项目现金流出现值</t>
  </si>
  <si>
    <t>净现值率</t>
  </si>
  <si>
    <t>项目净现值与总投资现值的比率</t>
  </si>
  <si>
    <t>净现值率=净现值/项目总投资现值*100%，净现值为建设期及生产期各年净现金流量现值合计值，总投资现值为建设及生产期内的投资现金流出的累计现值。</t>
  </si>
  <si>
    <t>项目毛利率
（项目整体利润率）</t>
  </si>
  <si>
    <t>项目毛利与项目收入的比率</t>
  </si>
  <si>
    <t>毛利率=毛利/项目总收入*100%，毛利=收入-投入。</t>
  </si>
  <si>
    <t>动态回收期</t>
  </si>
  <si>
    <t>考虑资金的时间价值时收回初始投入所需的时间。</t>
  </si>
  <si>
    <t>（累计净现金流量现值最后一次转正值的月份-1）+上一月累计净现金流量现值的绝对值/最后一次转正值月份净现金流量的现值。</t>
  </si>
  <si>
    <t>内部收益率</t>
  </si>
  <si>
    <t>集团要求指标</t>
  </si>
  <si>
    <t>资金流入现值总额与资金流出现值总额相等、净现值等于零时的折现率。</t>
  </si>
  <si>
    <t>根据接近于零的相邻正负两个净现值的折现率i1、i2，相应的净现值为NPV1、NPV2，用线性内插法求得内部收益率。内插公式为：IRR=i1+NPV1(i2-i1)/(NPV1-NPV2)。</t>
  </si>
  <si>
    <t>IT净现值率</t>
  </si>
  <si>
    <t>省内要求指标</t>
  </si>
  <si>
    <t>IT净现值与原始IT投入现值的比率</t>
  </si>
  <si>
    <t>IT净现值率=IT净现值/IT总投入现值*100%</t>
  </si>
  <si>
    <t>静态回收期</t>
  </si>
  <si>
    <t>不考虑资金的时间价值时，收回初始投入所需的时间</t>
  </si>
  <si>
    <t>（累计净现金流量最后一次转正值的月份-1）+上一月累计净现金流量的绝对值/最后一次转正值月份现金流量指。</t>
  </si>
  <si>
    <t>IT毛利率
（IT部分利润率）</t>
  </si>
  <si>
    <t>IT毛利与IT收入的比率</t>
  </si>
  <si>
    <t>IT毛利率=(IT收入-IT成本）/IT收入</t>
  </si>
  <si>
    <t>项目整体直接毛利率</t>
  </si>
  <si>
    <t>指直接毛利与项目收入的比率。</t>
  </si>
  <si>
    <t>直接毛利指项目收入减去项目支出（不含综合类成本和非本项目新增支出成本分摊）后的余额。</t>
  </si>
  <si>
    <t>IT部分直接毛利率</t>
  </si>
  <si>
    <t>指IT部分利润与项目收入的比率。I</t>
  </si>
  <si>
    <t>IT类项目收入减去IT类项目支出（不含综合类成本和非本项目新增支出成本分摊）后的余额。</t>
  </si>
  <si>
    <t>IT服务部分直接毛利率</t>
  </si>
  <si>
    <t>指IT服务部分直接毛利与项目收入的比率。</t>
  </si>
  <si>
    <t>IT服务部分直接毛利指IT类项目收入中服务部分减去IT类项目支出中服务部分（不含综合类成本和非本项目新增支出成本分摊）后的余额。</t>
  </si>
  <si>
    <t>项目通服直接毛利率</t>
  </si>
  <si>
    <t>指通服直接毛利与项目通服收入的比率。</t>
  </si>
  <si>
    <t>项目通服收入减去项目支出（不含硬件类成本、综合类成本和非本项目新增支出成本分摊）后的余额。</t>
  </si>
  <si>
    <t>ICT项目效益评估</t>
  </si>
  <si>
    <t>项目基本信息</t>
  </si>
  <si>
    <t>相关人员确认</t>
  </si>
  <si>
    <t>项目名称</t>
  </si>
  <si>
    <t>城市运营高楼消防服务项目</t>
  </si>
  <si>
    <t>客户经理/
项目经理确认</t>
  </si>
  <si>
    <t>客户单位名称</t>
  </si>
  <si>
    <t>重庆科学城城市运营集团有限公司</t>
  </si>
  <si>
    <t>是否为续签项目</t>
  </si>
  <si>
    <t>是/否</t>
  </si>
  <si>
    <t>商务模式</t>
  </si>
  <si>
    <t>投资/设备购销/服务购销/代理采购/受托代销</t>
  </si>
  <si>
    <t>合同年限（年）</t>
  </si>
  <si>
    <t>资金来源</t>
  </si>
  <si>
    <t>成本/资本/混合</t>
  </si>
  <si>
    <t>项目总投入（元/不含税）</t>
  </si>
  <si>
    <t>解方/产品经理确认</t>
  </si>
  <si>
    <t>IT投入（建设+维护）</t>
  </si>
  <si>
    <t>CT实际投入（建设+维护）</t>
  </si>
  <si>
    <t>非IT/CT投入</t>
  </si>
  <si>
    <t>综合类成本</t>
  </si>
  <si>
    <t>项目总收入（元/不含税）</t>
  </si>
  <si>
    <t>项目经理确认</t>
  </si>
  <si>
    <t>IT收入</t>
  </si>
  <si>
    <t>CT收入</t>
  </si>
  <si>
    <t>非IT/CT收入</t>
  </si>
  <si>
    <t>项目效益评估结果</t>
  </si>
  <si>
    <t>评价指标</t>
  </si>
  <si>
    <t>评估结果</t>
  </si>
  <si>
    <t>折现率</t>
  </si>
  <si>
    <t>项目净现值（元）</t>
  </si>
  <si>
    <t>项目净现值率（%)</t>
  </si>
  <si>
    <t>动态回收期（年）</t>
  </si>
  <si>
    <t>项目毛利率（%）</t>
  </si>
  <si>
    <t>内部收益率（%）（投资模式）</t>
  </si>
  <si>
    <t>IT净现值率（%）</t>
  </si>
  <si>
    <t>静态回收期（年）</t>
  </si>
  <si>
    <t>IT毛利率</t>
  </si>
  <si>
    <t xml:space="preserve">                                                                                         </t>
  </si>
  <si>
    <t xml:space="preserve">   立项决策层级</t>
  </si>
  <si>
    <t>请明确对应决策层级</t>
  </si>
  <si>
    <t>根据项目投入金额和效益评估结果进行分级授权决策</t>
  </si>
  <si>
    <t>需求单位领导签批/需求单位总办会决策/政企客户部总办会决策/公司分管领导专题办公会决策/公司总办会决策</t>
  </si>
  <si>
    <t>业务价值评估</t>
  </si>
  <si>
    <t>指标说明</t>
  </si>
  <si>
    <t>指标达成情况描述</t>
  </si>
  <si>
    <t>客户规模</t>
  </si>
  <si>
    <t>主要评价集团客户的级别，规模和影响力。</t>
  </si>
  <si>
    <t>标杆效应及对CT拉动效应分析</t>
  </si>
  <si>
    <t>主要考核项目对于行业的影响作用；对CT拉动的影响作用。</t>
  </si>
  <si>
    <t>政府重点建设项目</t>
  </si>
  <si>
    <t>主要考核政府对于项目的重视程度。</t>
  </si>
  <si>
    <t>项目可能涉及5G应用场景的复制</t>
  </si>
  <si>
    <t>主要评价项目是否涉及5G应用场景，能否复制已有的应用场景，并对5G应用场景有其他方面的扩展。</t>
  </si>
  <si>
    <t>对市场占有率的影响</t>
  </si>
  <si>
    <t>主要评价项目投资对于扩大市场占有率和影响力的带动作用。</t>
  </si>
  <si>
    <t>其他业务价值</t>
  </si>
  <si>
    <t>如有其他业务价值，可视需求增加，请自行补充。</t>
  </si>
  <si>
    <t>分表：经济效益评估表（2025版）（所有数据请按照不含税填写）</t>
  </si>
  <si>
    <t>项目概况</t>
  </si>
  <si>
    <t>易诚国际高楼消防监测项目</t>
  </si>
  <si>
    <t>产权归属</t>
  </si>
  <si>
    <t>客户</t>
  </si>
  <si>
    <t>收入侧合同
约定收入</t>
  </si>
  <si>
    <t>IT/移动云收入</t>
  </si>
  <si>
    <t>系统集成服务收入</t>
  </si>
  <si>
    <t>测算说明</t>
  </si>
  <si>
    <t>算力平台定制开发+中台能力（磐匠） 6%+软硬件集成部署</t>
  </si>
  <si>
    <t>维保收入</t>
  </si>
  <si>
    <t>3年维保费  6%</t>
  </si>
  <si>
    <t>设备销售收入</t>
  </si>
  <si>
    <t>高性能算力服务器1台</t>
  </si>
  <si>
    <t>设备租赁收入</t>
  </si>
  <si>
    <t>请明确税率</t>
  </si>
  <si>
    <t>其他收入（代销设备、代理采购手续费等）</t>
  </si>
  <si>
    <t>移动云-定制化收入</t>
  </si>
  <si>
    <t>专线收入</t>
  </si>
  <si>
    <t>500M数据专线 9%</t>
  </si>
  <si>
    <t>产品收入</t>
  </si>
  <si>
    <t>请明确该项具体类别及税率</t>
  </si>
  <si>
    <t>工程施工收入等</t>
  </si>
  <si>
    <t>总计</t>
  </si>
  <si>
    <t>IT/云收入+CT收入+非IT/CT收入</t>
  </si>
  <si>
    <t>支出侧合同
约定支出</t>
  </si>
  <si>
    <t>IT/移动云投入</t>
  </si>
  <si>
    <t>建设/服务支出</t>
  </si>
  <si>
    <t>主要设备/甲供材料</t>
  </si>
  <si>
    <t>施工</t>
  </si>
  <si>
    <t>勘察设计/预备费</t>
  </si>
  <si>
    <t>集成服务</t>
  </si>
  <si>
    <t>其他投入</t>
  </si>
  <si>
    <t>运行维护费用</t>
  </si>
  <si>
    <t>维护费用</t>
  </si>
  <si>
    <t>其他运行支出（电费等）</t>
  </si>
  <si>
    <t>中标服务费</t>
  </si>
  <si>
    <t>设计院成本评估费</t>
  </si>
  <si>
    <t>第三方审计评估费</t>
  </si>
  <si>
    <t>CT投入</t>
  </si>
  <si>
    <t>CT实际投入</t>
  </si>
  <si>
    <t>专线建设</t>
  </si>
  <si>
    <t>专线建设费用 6%</t>
  </si>
  <si>
    <t>专线维护</t>
  </si>
  <si>
    <t>根据公司采购结果据实测算</t>
  </si>
  <si>
    <r>
      <rPr>
        <sz val="14"/>
        <color theme="1"/>
        <rFont val="宋体"/>
        <charset val="134"/>
      </rPr>
      <t>其他产品成本
（</t>
    </r>
    <r>
      <rPr>
        <b/>
        <sz val="14"/>
        <color rgb="FFFF0000"/>
        <rFont val="宋体"/>
        <charset val="134"/>
      </rPr>
      <t>具体测算规则详见Sheet5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</si>
  <si>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宋体"/>
        <charset val="134"/>
      </rPr>
      <t>CT虚拟投入
（</t>
    </r>
    <r>
      <rPr>
        <b/>
        <sz val="14"/>
        <color rgb="FFFF0000"/>
        <rFont val="宋体"/>
        <charset val="134"/>
      </rPr>
      <t>续签需考虑</t>
    </r>
    <r>
      <rPr>
        <sz val="14"/>
        <color theme="1"/>
        <rFont val="宋体"/>
        <charset val="134"/>
      </rPr>
      <t>）</t>
    </r>
  </si>
  <si>
    <t>专线带宽成本</t>
  </si>
  <si>
    <t>厂家报价</t>
  </si>
  <si>
    <t>移动溢价</t>
  </si>
  <si>
    <t>专线/其他产品续签成本</t>
  </si>
  <si>
    <t>甄选费用</t>
  </si>
  <si>
    <t>工程施工投入</t>
  </si>
  <si>
    <t>工程施工投入等</t>
  </si>
  <si>
    <t>厂家实际费用</t>
  </si>
  <si>
    <t>融合营销成本</t>
  </si>
  <si>
    <t>甄选上浮</t>
  </si>
  <si>
    <t>渠道酬金</t>
  </si>
  <si>
    <t>最终甄选限价</t>
  </si>
  <si>
    <t>其他管理费用等</t>
  </si>
  <si>
    <t>IT投入+CT投入+非IT/CT投入+综合类成本</t>
  </si>
  <si>
    <t>评价参数</t>
  </si>
  <si>
    <t>净现金流量</t>
  </si>
  <si>
    <t>累计净现金流量</t>
  </si>
  <si>
    <t>净现金流量现值</t>
  </si>
  <si>
    <t>累计净现金流量现值</t>
  </si>
  <si>
    <t>项目年现金流</t>
  </si>
  <si>
    <t>第一年</t>
  </si>
  <si>
    <t>现金流入</t>
  </si>
  <si>
    <t>项目现金流出</t>
  </si>
  <si>
    <t>第二年</t>
  </si>
  <si>
    <t>第三年</t>
  </si>
  <si>
    <t>第四年</t>
  </si>
  <si>
    <t>第五年</t>
  </si>
  <si>
    <t>第六年</t>
  </si>
  <si>
    <t>第七年</t>
  </si>
  <si>
    <t>第八年</t>
  </si>
  <si>
    <t>第九年</t>
  </si>
  <si>
    <t>第十年</t>
  </si>
  <si>
    <t>累计净现值</t>
  </si>
  <si>
    <t>项目总投资现值</t>
  </si>
  <si>
    <t>净现值</t>
  </si>
  <si>
    <t>动态回收期(年)</t>
  </si>
  <si>
    <t>毛利润率</t>
  </si>
  <si>
    <t>IT部分效益结果(请注意需剔除CT部分收入/投入)</t>
  </si>
  <si>
    <t>IT部分总收入</t>
  </si>
  <si>
    <t>IT部分总支出</t>
  </si>
  <si>
    <t>IT净现金流量</t>
  </si>
  <si>
    <t>IT累计净现金流量</t>
  </si>
  <si>
    <t>IT净现金流量现值</t>
  </si>
  <si>
    <t>IT累计净现金流量现值</t>
  </si>
  <si>
    <t>IT年现金流</t>
  </si>
  <si>
    <t>IT现金流入</t>
  </si>
  <si>
    <t>IT现金流出</t>
  </si>
  <si>
    <t>累计总投资现值</t>
  </si>
  <si>
    <t>IT净现值</t>
  </si>
  <si>
    <t>1、贴现系数（折现率）取值统一调整为5.5%；成本开支项目如涉及垫资贴现系数（折现率）取值8%；</t>
  </si>
  <si>
    <t>2、项目所有收入和支出明细的测算必须有充分的依据和明确的数值；</t>
  </si>
  <si>
    <t>3、项目的支出应完整考虑合同期内所有维保及设备更换的投入；</t>
  </si>
  <si>
    <t>4、为项目所发生的配套投资需纳入项目效益评价中；</t>
  </si>
  <si>
    <t>5、市公司将对项目所有收入和支出明细进行审核及后评估，分公司若有虚假上报的情况，将追究相关责任；</t>
  </si>
  <si>
    <t>6、本表浅红色部分为分公司填写，浅蓝色部分为自动生成，严禁对表格内结构公式进行修改或删除。</t>
  </si>
  <si>
    <t>说明：需粘贴产品经理预算邮件回复/设计院专线建设勘察费用截图</t>
  </si>
  <si>
    <t>CT类别</t>
  </si>
  <si>
    <t>产品资费档次</t>
  </si>
  <si>
    <t>成本预算
（建设+维护）</t>
  </si>
  <si>
    <t>合同签约单价</t>
  </si>
  <si>
    <t>签约数量</t>
  </si>
  <si>
    <t>互联网专线</t>
  </si>
  <si>
    <t>数据专线</t>
  </si>
  <si>
    <t>云视讯</t>
  </si>
  <si>
    <t>物联卡</t>
  </si>
  <si>
    <t>…</t>
  </si>
  <si>
    <t>产品名称</t>
  </si>
  <si>
    <t>投入核算规则</t>
  </si>
  <si>
    <t>公允价值</t>
  </si>
  <si>
    <t>专线类</t>
  </si>
  <si>
    <t>建设投资+运营维护成本
20年全市平均建设成本：数据专线（城镇：4625元/条；农村：7242元/条；平均:5329元/条）
20年全市平均维护成本：285元/条/年</t>
  </si>
  <si>
    <t>本地专线按总部下发的目录价最低折扣0.7折计算。（政企通〔2021〕13 号）
跨省专线：按总部下发的刚性管控价计算。</t>
  </si>
  <si>
    <t xml:space="preserve">500M以下：建设投资+维护成本
500M及以上：按建设投资+维护成本+带宽价值底线价（5400元/1G/月）
</t>
  </si>
  <si>
    <t>按各带宽档次互联网专线基线价计算</t>
  </si>
  <si>
    <t>企业宽带</t>
  </si>
  <si>
    <t>建设+装维+终端成本
安装费：城区58元/条，农村70元/条
维护费：2元/月/条</t>
  </si>
  <si>
    <t>100M-80元/月
200M-120元/月
500M-300元/月
1000M-600元 /月</t>
  </si>
  <si>
    <t>智能组网</t>
  </si>
  <si>
    <t>终端设备成本：CMIOT-AX18-基础企业版，含税价203元
安装成本：城区58元/点位，农村70元/点位
无维护额外成本；</t>
  </si>
  <si>
    <t>20元/月/点位</t>
  </si>
  <si>
    <t>集团短彩信</t>
  </si>
  <si>
    <t>短信：0.04元/条</t>
  </si>
  <si>
    <t>短信：0.071元/条</t>
  </si>
  <si>
    <t>云MAS</t>
  </si>
  <si>
    <t>5G多媒体消息</t>
  </si>
  <si>
    <t>本网：0.096元/条；异网：0.12元/条</t>
  </si>
  <si>
    <t>0.26元/条</t>
  </si>
  <si>
    <t>集团语音</t>
  </si>
  <si>
    <t>呼叫中心：线路部分（同数据专线）+通信费（0.06元/分钟）
固话：线路部分（同数据专线）+话机</t>
  </si>
  <si>
    <t>呼叫中心：线路部分（同数据专线）+通信费（0.12元/分钟）
固话：按标准套餐档次（18-100元/月）+超套的通信费（0.10元/分钟）
（注：通信费收入分摊结果不低于总部刚性管控价0.06元/分钟）</t>
  </si>
  <si>
    <t>智能呼叫中心</t>
  </si>
  <si>
    <t>集团刚性管控：功能费+通信费（呼入呼出0.06元/分钟）</t>
  </si>
  <si>
    <t>集团公司刚性管控底价</t>
  </si>
  <si>
    <t>按标准月资费计算
（注：收入分摊结果不低于集团公司刚性管控底价）</t>
  </si>
  <si>
    <t>移动云</t>
  </si>
  <si>
    <t>标准产品：集团公司管控底价（现为5折）
特殊项目：市公司与云能中心单独核算</t>
  </si>
  <si>
    <t>按标准月资费计算
（注：收入分摊结果不低于集团公司管控底价，现在为5折，以最新文件为准）</t>
  </si>
  <si>
    <t>IDC</t>
  </si>
  <si>
    <t>按投资+运营成本+带宽成本计算</t>
  </si>
  <si>
    <t>按每档次最低折扣价格计算：
机位服务（175元/月/U）
机柜服务（3450元/月/机架，4KW）
机柜服务（6034元/月/机架，7KW） 
带宽价值：按IDC资费底价计算带宽价值。</t>
  </si>
  <si>
    <t>OneNET</t>
  </si>
  <si>
    <t>按采购价格计算</t>
  </si>
  <si>
    <t>按标准售价计算</t>
  </si>
  <si>
    <t>按终端+安装维护+终端延保成本计算</t>
  </si>
  <si>
    <t>按每款终端的标准月功能费计算</t>
  </si>
  <si>
    <t>和对讲</t>
  </si>
  <si>
    <t>按终端采购成本计算</t>
  </si>
  <si>
    <t>按每款终端的标准月功能费计算（以和对讲指导意见发文为准）</t>
  </si>
  <si>
    <t>千里眼</t>
  </si>
  <si>
    <t>按终端+安装维护+云存储成本+终端延保成本计算</t>
  </si>
  <si>
    <t>按每一型号的标准月功能费及云存储档次的月功能费计算</t>
  </si>
  <si>
    <t>和商务TV</t>
  </si>
  <si>
    <t>终端成本+牌照费（OTT：5.5元/月/户；IPTV：6.5元/月/户）+定制费成本</t>
  </si>
  <si>
    <t>按目录价20元/户/月计算+定制化成本</t>
  </si>
  <si>
    <t>企业视频彩铃</t>
  </si>
  <si>
    <t>4元/户/月</t>
  </si>
  <si>
    <t>6元/户/月</t>
  </si>
  <si>
    <t>移动办公</t>
  </si>
  <si>
    <t>按标准资费档次计算
云办公：按20元/户计算</t>
  </si>
  <si>
    <t>和交通</t>
  </si>
  <si>
    <t>车务通</t>
  </si>
  <si>
    <t>按每款终端的标准月功能费计算（以车务通指导意见发文为准）</t>
  </si>
  <si>
    <t>行车卫士</t>
  </si>
  <si>
    <t>按每款终端的标准月功能费计算（以行车卫士指导意见发文为准）</t>
  </si>
  <si>
    <t>高精度定位</t>
  </si>
  <si>
    <t>不低于与上研院结算（结算规则集团还在明确）</t>
  </si>
  <si>
    <t>标准价格七折</t>
  </si>
  <si>
    <t>大数据</t>
  </si>
  <si>
    <t>大数据短信：0.05元/条</t>
  </si>
  <si>
    <t>按标准销售价格计算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</si>
</sst>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.00_ ;[Red]\-#,##0.00\ "/>
    <numFmt numFmtId="178" formatCode="0.00_);[Red]\(0.00\)"/>
    <numFmt numFmtId="179" formatCode="0.0_ "/>
    <numFmt numFmtId="180" formatCode="0.0%"/>
  </numFmts>
  <fonts count="52">
    <font>
      <sz val="11"/>
      <color theme="1"/>
      <name val="宋体"/>
      <charset val="134"/>
      <scheme val="minor"/>
    </font>
    <font>
      <b/>
      <sz val="11"/>
      <color theme="4"/>
      <name val="微软雅黑"/>
      <charset val="134"/>
    </font>
    <font>
      <sz val="9"/>
      <name val="微软雅黑"/>
      <charset val="134"/>
    </font>
    <font>
      <sz val="9"/>
      <color rgb="FF000000"/>
      <name val="微软雅黑"/>
      <charset val="134"/>
    </font>
    <font>
      <b/>
      <sz val="14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name val="宋体"/>
      <charset val="134"/>
    </font>
    <font>
      <b/>
      <sz val="18"/>
      <name val="黑体"/>
      <charset val="134"/>
    </font>
    <font>
      <b/>
      <sz val="14"/>
      <name val="黑体"/>
      <charset val="134"/>
    </font>
    <font>
      <b/>
      <sz val="14"/>
      <name val="宋体"/>
      <charset val="134"/>
    </font>
    <font>
      <b/>
      <sz val="14"/>
      <color rgb="FFFF0000"/>
      <name val="宋体"/>
      <charset val="134"/>
    </font>
    <font>
      <b/>
      <sz val="14"/>
      <name val="仿宋"/>
      <charset val="134"/>
    </font>
    <font>
      <b/>
      <sz val="14"/>
      <color rgb="FFFF0000"/>
      <name val="仿宋"/>
      <charset val="134"/>
    </font>
    <font>
      <sz val="14"/>
      <color theme="1"/>
      <name val="宋体"/>
      <charset val="134"/>
    </font>
    <font>
      <sz val="14"/>
      <color theme="1"/>
      <name val="宋体"/>
      <charset val="134"/>
      <scheme val="minor"/>
    </font>
    <font>
      <sz val="14"/>
      <color theme="1"/>
      <name val="微软雅黑"/>
      <charset val="134"/>
    </font>
    <font>
      <sz val="12"/>
      <name val="微软雅黑"/>
      <charset val="134"/>
    </font>
    <font>
      <b/>
      <sz val="18"/>
      <color indexed="8"/>
      <name val="微软雅黑"/>
      <charset val="134"/>
    </font>
    <font>
      <b/>
      <sz val="14"/>
      <color theme="0"/>
      <name val="微软雅黑"/>
      <charset val="134"/>
    </font>
    <font>
      <b/>
      <sz val="14"/>
      <color theme="1"/>
      <name val="微软雅黑"/>
      <charset val="134"/>
    </font>
    <font>
      <sz val="14"/>
      <color indexed="8"/>
      <name val="微软雅黑"/>
      <charset val="134"/>
    </font>
    <font>
      <sz val="14"/>
      <name val="微软雅黑"/>
      <charset val="134"/>
    </font>
    <font>
      <b/>
      <sz val="14"/>
      <color indexed="8"/>
      <name val="微软雅黑"/>
      <charset val="134"/>
    </font>
    <font>
      <b/>
      <sz val="14"/>
      <name val="微软雅黑"/>
      <charset val="134"/>
    </font>
    <font>
      <b/>
      <sz val="9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0"/>
      <color rgb="FFFF0000"/>
      <name val="微软雅黑"/>
      <charset val="134"/>
    </font>
    <font>
      <sz val="12"/>
      <name val="宋体"/>
      <charset val="0"/>
      <scheme val="minor"/>
    </font>
    <font>
      <sz val="12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17" borderId="51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6" fillId="0" borderId="53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8" borderId="54" applyNumberFormat="0" applyAlignment="0" applyProtection="0">
      <alignment vertical="center"/>
    </xf>
    <xf numFmtId="0" fontId="38" fillId="19" borderId="55" applyNumberFormat="0" applyAlignment="0" applyProtection="0">
      <alignment vertical="center"/>
    </xf>
    <xf numFmtId="0" fontId="39" fillId="19" borderId="54" applyNumberFormat="0" applyAlignment="0" applyProtection="0">
      <alignment vertical="center"/>
    </xf>
    <xf numFmtId="0" fontId="40" fillId="20" borderId="56" applyNumberFormat="0" applyAlignment="0" applyProtection="0">
      <alignment vertical="center"/>
    </xf>
    <xf numFmtId="0" fontId="41" fillId="0" borderId="57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6" fillId="45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</cellStyleXfs>
  <cellXfs count="267">
    <xf numFmtId="0" fontId="0" fillId="0" borderId="0" xfId="0">
      <alignment vertical="center"/>
    </xf>
    <xf numFmtId="0" fontId="0" fillId="0" borderId="0" xfId="0" applyFill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1" xfId="0" applyFill="1" applyBorder="1" applyAlignment="1">
      <alignment wrapText="1"/>
    </xf>
    <xf numFmtId="0" fontId="2" fillId="0" borderId="3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8" fillId="0" borderId="0" xfId="49" applyFont="1" applyProtection="1">
      <alignment vertical="center"/>
      <protection locked="0"/>
    </xf>
    <xf numFmtId="0" fontId="8" fillId="0" borderId="0" xfId="49" applyFont="1">
      <alignment vertical="center"/>
    </xf>
    <xf numFmtId="0" fontId="8" fillId="0" borderId="0" xfId="49" applyFont="1" applyProtection="1">
      <alignment vertical="center"/>
      <protection hidden="1"/>
    </xf>
    <xf numFmtId="0" fontId="9" fillId="0" borderId="0" xfId="49" applyFont="1" applyAlignment="1" applyProtection="1">
      <alignment horizontal="left" vertical="center"/>
      <protection hidden="1"/>
    </xf>
    <xf numFmtId="0" fontId="10" fillId="0" borderId="0" xfId="49" applyFont="1" applyAlignment="1" applyProtection="1">
      <alignment horizontal="left" vertical="center"/>
      <protection hidden="1"/>
    </xf>
    <xf numFmtId="0" fontId="11" fillId="0" borderId="0" xfId="49" applyFont="1" applyAlignment="1" applyProtection="1">
      <alignment horizontal="center" vertical="center"/>
      <protection locked="0"/>
    </xf>
    <xf numFmtId="0" fontId="12" fillId="0" borderId="0" xfId="49" applyFont="1">
      <alignment vertical="center"/>
    </xf>
    <xf numFmtId="0" fontId="13" fillId="0" borderId="0" xfId="49" applyFont="1" applyAlignment="1">
      <alignment horizontal="center" vertical="center"/>
    </xf>
    <xf numFmtId="0" fontId="8" fillId="0" borderId="7" xfId="49" applyFont="1" applyBorder="1" applyAlignment="1" applyProtection="1">
      <alignment horizontal="center" vertical="center"/>
      <protection hidden="1"/>
    </xf>
    <xf numFmtId="0" fontId="8" fillId="4" borderId="8" xfId="49" applyFont="1" applyFill="1" applyBorder="1" applyAlignment="1" applyProtection="1">
      <alignment horizontal="center" vertical="center"/>
      <protection hidden="1"/>
    </xf>
    <xf numFmtId="0" fontId="8" fillId="4" borderId="9" xfId="49" applyFont="1" applyFill="1" applyBorder="1" applyAlignment="1" applyProtection="1">
      <alignment horizontal="center" vertical="center"/>
      <protection hidden="1"/>
    </xf>
    <xf numFmtId="0" fontId="8" fillId="4" borderId="10" xfId="49" applyFont="1" applyFill="1" applyBorder="1" applyAlignment="1" applyProtection="1">
      <alignment horizontal="center" vertical="center"/>
      <protection hidden="1"/>
    </xf>
    <xf numFmtId="0" fontId="8" fillId="0" borderId="0" xfId="49" applyFont="1" applyAlignment="1" applyProtection="1">
      <alignment horizontal="center" vertical="center"/>
      <protection hidden="1"/>
    </xf>
    <xf numFmtId="0" fontId="13" fillId="0" borderId="0" xfId="49" applyFont="1" applyAlignment="1" applyProtection="1">
      <alignment horizontal="center" vertical="center"/>
      <protection hidden="1"/>
    </xf>
    <xf numFmtId="0" fontId="14" fillId="0" borderId="0" xfId="49" applyFont="1" applyProtection="1">
      <alignment vertical="center"/>
      <protection hidden="1"/>
    </xf>
    <xf numFmtId="0" fontId="8" fillId="0" borderId="11" xfId="49" applyFont="1" applyBorder="1" applyAlignment="1" applyProtection="1">
      <alignment horizontal="center" vertical="center" wrapText="1"/>
      <protection hidden="1"/>
    </xf>
    <xf numFmtId="0" fontId="8" fillId="0" borderId="12" xfId="49" applyFont="1" applyBorder="1" applyAlignment="1" applyProtection="1">
      <alignment horizontal="center" vertical="center" wrapText="1"/>
      <protection hidden="1"/>
    </xf>
    <xf numFmtId="0" fontId="8" fillId="0" borderId="13" xfId="49" applyFont="1" applyBorder="1" applyAlignment="1" applyProtection="1">
      <alignment horizontal="center" vertical="center"/>
      <protection hidden="1"/>
    </xf>
    <xf numFmtId="0" fontId="8" fillId="0" borderId="7" xfId="49" applyFont="1" applyBorder="1" applyProtection="1">
      <alignment vertical="center"/>
      <protection hidden="1"/>
    </xf>
    <xf numFmtId="176" fontId="8" fillId="4" borderId="7" xfId="49" applyNumberFormat="1" applyFont="1" applyFill="1" applyBorder="1" applyAlignment="1" applyProtection="1">
      <alignment horizontal="center" vertical="center"/>
      <protection hidden="1"/>
    </xf>
    <xf numFmtId="0" fontId="8" fillId="4" borderId="7" xfId="49" applyFont="1" applyFill="1" applyBorder="1" applyAlignment="1" applyProtection="1">
      <alignment horizontal="left" vertical="center"/>
      <protection hidden="1"/>
    </xf>
    <xf numFmtId="176" fontId="8" fillId="0" borderId="0" xfId="49" applyNumberFormat="1" applyFont="1" applyAlignment="1" applyProtection="1">
      <alignment horizontal="left" vertical="center"/>
      <protection hidden="1"/>
    </xf>
    <xf numFmtId="0" fontId="8" fillId="0" borderId="14" xfId="49" applyFont="1" applyBorder="1" applyAlignment="1" applyProtection="1">
      <alignment horizontal="center" vertical="center" wrapText="1"/>
      <protection hidden="1"/>
    </xf>
    <xf numFmtId="0" fontId="8" fillId="0" borderId="15" xfId="49" applyFont="1" applyBorder="1" applyAlignment="1" applyProtection="1">
      <alignment horizontal="center" vertical="center" wrapText="1"/>
      <protection hidden="1"/>
    </xf>
    <xf numFmtId="0" fontId="8" fillId="0" borderId="16" xfId="49" applyFont="1" applyBorder="1" applyAlignment="1" applyProtection="1">
      <alignment horizontal="center" vertical="center"/>
      <protection hidden="1"/>
    </xf>
    <xf numFmtId="0" fontId="8" fillId="0" borderId="0" xfId="49" applyFont="1" applyAlignment="1" applyProtection="1">
      <alignment horizontal="left" vertical="center"/>
      <protection hidden="1"/>
    </xf>
    <xf numFmtId="0" fontId="8" fillId="0" borderId="8" xfId="49" applyFont="1" applyBorder="1" applyAlignment="1" applyProtection="1">
      <alignment horizontal="left" vertical="center"/>
      <protection hidden="1"/>
    </xf>
    <xf numFmtId="0" fontId="8" fillId="0" borderId="9" xfId="49" applyFont="1" applyBorder="1" applyAlignment="1" applyProtection="1">
      <alignment horizontal="left" vertical="center"/>
      <protection hidden="1"/>
    </xf>
    <xf numFmtId="0" fontId="8" fillId="0" borderId="10" xfId="49" applyFont="1" applyBorder="1" applyAlignment="1" applyProtection="1">
      <alignment horizontal="left" vertical="center"/>
      <protection hidden="1"/>
    </xf>
    <xf numFmtId="0" fontId="8" fillId="4" borderId="8" xfId="49" applyFont="1" applyFill="1" applyBorder="1" applyAlignment="1" applyProtection="1">
      <alignment horizontal="left" vertical="center"/>
      <protection hidden="1"/>
    </xf>
    <xf numFmtId="0" fontId="8" fillId="4" borderId="9" xfId="49" applyFont="1" applyFill="1" applyBorder="1" applyAlignment="1" applyProtection="1">
      <alignment horizontal="left" vertical="center"/>
      <protection hidden="1"/>
    </xf>
    <xf numFmtId="0" fontId="8" fillId="4" borderId="10" xfId="49" applyFont="1" applyFill="1" applyBorder="1" applyAlignment="1" applyProtection="1">
      <alignment horizontal="left" vertical="center"/>
      <protection hidden="1"/>
    </xf>
    <xf numFmtId="0" fontId="8" fillId="0" borderId="17" xfId="49" applyFont="1" applyBorder="1" applyAlignment="1" applyProtection="1">
      <alignment horizontal="center" vertical="center"/>
      <protection hidden="1"/>
    </xf>
    <xf numFmtId="0" fontId="14" fillId="0" borderId="0" xfId="49" applyFont="1" applyAlignment="1">
      <alignment horizontal="center" vertical="center"/>
    </xf>
    <xf numFmtId="0" fontId="8" fillId="0" borderId="0" xfId="49" applyFont="1" applyBorder="1" applyAlignment="1" applyProtection="1">
      <alignment horizontal="center" vertical="center" wrapText="1"/>
      <protection hidden="1"/>
    </xf>
    <xf numFmtId="0" fontId="8" fillId="0" borderId="18" xfId="49" applyFont="1" applyBorder="1" applyAlignment="1" applyProtection="1">
      <alignment horizontal="center" vertical="center" wrapText="1"/>
      <protection hidden="1"/>
    </xf>
    <xf numFmtId="0" fontId="8" fillId="0" borderId="19" xfId="49" applyFont="1" applyBorder="1" applyAlignment="1" applyProtection="1">
      <alignment horizontal="center" vertical="center" wrapText="1"/>
      <protection hidden="1"/>
    </xf>
    <xf numFmtId="176" fontId="8" fillId="5" borderId="7" xfId="49" applyNumberFormat="1" applyFont="1" applyFill="1" applyBorder="1" applyAlignment="1" applyProtection="1">
      <alignment horizontal="center" vertical="center"/>
      <protection hidden="1"/>
    </xf>
    <xf numFmtId="0" fontId="15" fillId="0" borderId="16" xfId="49" applyFont="1" applyBorder="1" applyAlignment="1" applyProtection="1">
      <alignment horizontal="center" vertical="center"/>
      <protection hidden="1"/>
    </xf>
    <xf numFmtId="0" fontId="8" fillId="0" borderId="13" xfId="49" applyFont="1" applyBorder="1" applyAlignment="1" applyProtection="1">
      <alignment horizontal="center" vertical="center" wrapText="1"/>
      <protection locked="0"/>
    </xf>
    <xf numFmtId="0" fontId="15" fillId="0" borderId="7" xfId="49" applyFont="1" applyBorder="1" applyAlignment="1" applyProtection="1">
      <alignment horizontal="left" vertical="center"/>
      <protection hidden="1"/>
    </xf>
    <xf numFmtId="0" fontId="8" fillId="0" borderId="16" xfId="49" applyFont="1" applyBorder="1" applyAlignment="1" applyProtection="1">
      <alignment horizontal="center" vertical="center" wrapText="1"/>
      <protection locked="0"/>
    </xf>
    <xf numFmtId="176" fontId="8" fillId="6" borderId="7" xfId="49" applyNumberFormat="1" applyFont="1" applyFill="1" applyBorder="1" applyAlignment="1" applyProtection="1">
      <alignment horizontal="center" vertical="center"/>
      <protection hidden="1"/>
    </xf>
    <xf numFmtId="0" fontId="15" fillId="0" borderId="8" xfId="49" applyFont="1" applyBorder="1" applyAlignment="1" applyProtection="1">
      <alignment horizontal="left" vertical="center"/>
      <protection hidden="1"/>
    </xf>
    <xf numFmtId="0" fontId="15" fillId="0" borderId="10" xfId="49" applyFont="1" applyBorder="1" applyAlignment="1" applyProtection="1">
      <alignment horizontal="left" vertical="center"/>
      <protection hidden="1"/>
    </xf>
    <xf numFmtId="0" fontId="8" fillId="0" borderId="17" xfId="49" applyFont="1" applyBorder="1" applyAlignment="1" applyProtection="1">
      <alignment horizontal="center" vertical="center" wrapText="1"/>
      <protection locked="0"/>
    </xf>
    <xf numFmtId="0" fontId="15" fillId="0" borderId="7" xfId="49" applyFont="1" applyBorder="1" applyAlignment="1" applyProtection="1">
      <alignment horizontal="center" vertical="center"/>
      <protection hidden="1"/>
    </xf>
    <xf numFmtId="0" fontId="15" fillId="0" borderId="13" xfId="49" applyFont="1" applyBorder="1" applyAlignment="1" applyProtection="1">
      <alignment horizontal="center" vertical="center"/>
      <protection hidden="1"/>
    </xf>
    <xf numFmtId="9" fontId="8" fillId="4" borderId="8" xfId="49" applyNumberFormat="1" applyFont="1" applyFill="1" applyBorder="1" applyAlignment="1" applyProtection="1">
      <alignment horizontal="left" vertical="center"/>
      <protection hidden="1"/>
    </xf>
    <xf numFmtId="0" fontId="15" fillId="0" borderId="11" xfId="49" applyFont="1" applyBorder="1" applyAlignment="1" applyProtection="1">
      <alignment horizontal="left" vertical="center" wrapText="1"/>
      <protection hidden="1"/>
    </xf>
    <xf numFmtId="0" fontId="15" fillId="0" borderId="12" xfId="49" applyFont="1" applyBorder="1" applyAlignment="1" applyProtection="1">
      <alignment horizontal="left" vertical="center" wrapText="1"/>
      <protection hidden="1"/>
    </xf>
    <xf numFmtId="177" fontId="8" fillId="0" borderId="0" xfId="49" applyNumberFormat="1" applyFont="1" applyProtection="1">
      <alignment vertical="center"/>
      <protection hidden="1"/>
    </xf>
    <xf numFmtId="0" fontId="15" fillId="0" borderId="11" xfId="49" applyFont="1" applyBorder="1" applyAlignment="1" applyProtection="1">
      <alignment horizontal="center" vertical="center" wrapText="1"/>
      <protection hidden="1"/>
    </xf>
    <xf numFmtId="0" fontId="15" fillId="0" borderId="20" xfId="49" applyFont="1" applyBorder="1" applyAlignment="1" applyProtection="1">
      <alignment horizontal="left" vertical="center" wrapText="1"/>
      <protection hidden="1"/>
    </xf>
    <xf numFmtId="0" fontId="15" fillId="0" borderId="21" xfId="49" applyFont="1" applyBorder="1" applyAlignment="1" applyProtection="1">
      <alignment horizontal="left" vertical="center" wrapText="1"/>
      <protection hidden="1"/>
    </xf>
    <xf numFmtId="176" fontId="8" fillId="4" borderId="10" xfId="49" applyNumberFormat="1" applyFont="1" applyFill="1" applyBorder="1" applyAlignment="1" applyProtection="1">
      <alignment horizontal="center" vertical="center"/>
      <protection hidden="1"/>
    </xf>
    <xf numFmtId="0" fontId="13" fillId="0" borderId="0" xfId="49" applyFont="1" applyAlignment="1" applyProtection="1">
      <alignment horizontal="center" vertical="center" wrapText="1"/>
      <protection hidden="1"/>
    </xf>
    <xf numFmtId="0" fontId="13" fillId="7" borderId="0" xfId="49" applyFont="1" applyFill="1" applyAlignment="1" applyProtection="1">
      <alignment horizontal="center" vertical="center" wrapText="1"/>
      <protection hidden="1"/>
    </xf>
    <xf numFmtId="0" fontId="15" fillId="0" borderId="17" xfId="49" applyFont="1" applyBorder="1" applyAlignment="1" applyProtection="1">
      <alignment horizontal="center" vertical="center"/>
      <protection hidden="1"/>
    </xf>
    <xf numFmtId="0" fontId="15" fillId="0" borderId="18" xfId="49" applyFont="1" applyBorder="1" applyAlignment="1" applyProtection="1">
      <alignment horizontal="center" vertical="center"/>
      <protection hidden="1"/>
    </xf>
    <xf numFmtId="0" fontId="15" fillId="0" borderId="22" xfId="49" applyFont="1" applyBorder="1" applyAlignment="1" applyProtection="1">
      <alignment horizontal="left" vertical="center" wrapText="1"/>
      <protection hidden="1"/>
    </xf>
    <xf numFmtId="0" fontId="15" fillId="0" borderId="23" xfId="49" applyFont="1" applyBorder="1" applyAlignment="1" applyProtection="1">
      <alignment horizontal="left" vertical="center" wrapText="1"/>
      <protection hidden="1"/>
    </xf>
    <xf numFmtId="0" fontId="15" fillId="0" borderId="19" xfId="49" applyFont="1" applyBorder="1" applyAlignment="1" applyProtection="1">
      <alignment horizontal="left" vertical="center" wrapText="1"/>
      <protection hidden="1"/>
    </xf>
    <xf numFmtId="0" fontId="15" fillId="0" borderId="24" xfId="49" applyFont="1" applyBorder="1" applyAlignment="1" applyProtection="1">
      <alignment horizontal="left" vertical="center" wrapText="1"/>
      <protection hidden="1"/>
    </xf>
    <xf numFmtId="0" fontId="8" fillId="0" borderId="0" xfId="49" applyFont="1" applyAlignment="1" applyProtection="1">
      <alignment horizontal="center" vertical="center" wrapText="1"/>
      <protection hidden="1"/>
    </xf>
    <xf numFmtId="0" fontId="15" fillId="0" borderId="13" xfId="49" applyFont="1" applyBorder="1" applyAlignment="1" applyProtection="1">
      <alignment horizontal="center" vertical="center" wrapText="1"/>
      <protection hidden="1"/>
    </xf>
    <xf numFmtId="0" fontId="15" fillId="0" borderId="8" xfId="49" applyFont="1" applyBorder="1" applyAlignment="1" applyProtection="1">
      <alignment vertical="center" wrapText="1"/>
      <protection hidden="1"/>
    </xf>
    <xf numFmtId="0" fontId="15" fillId="0" borderId="19" xfId="49" applyFont="1" applyBorder="1" applyAlignment="1" applyProtection="1">
      <alignment vertical="center" wrapText="1"/>
      <protection hidden="1"/>
    </xf>
    <xf numFmtId="0" fontId="15" fillId="0" borderId="24" xfId="49" applyFont="1" applyBorder="1" applyAlignment="1" applyProtection="1">
      <alignment vertical="center" wrapText="1"/>
      <protection hidden="1"/>
    </xf>
    <xf numFmtId="0" fontId="8" fillId="0" borderId="7" xfId="49" applyFont="1" applyBorder="1" applyAlignment="1" applyProtection="1">
      <alignment horizontal="left" vertical="center"/>
      <protection locked="0"/>
    </xf>
    <xf numFmtId="0" fontId="15" fillId="0" borderId="9" xfId="49" applyFont="1" applyBorder="1" applyAlignment="1" applyProtection="1">
      <alignment horizontal="left" vertical="center"/>
      <protection hidden="1"/>
    </xf>
    <xf numFmtId="0" fontId="8" fillId="4" borderId="25" xfId="49" applyFont="1" applyFill="1" applyBorder="1" applyAlignment="1" applyProtection="1">
      <alignment horizontal="left" vertical="center"/>
      <protection hidden="1"/>
    </xf>
    <xf numFmtId="0" fontId="8" fillId="4" borderId="12" xfId="49" applyFont="1" applyFill="1" applyBorder="1" applyAlignment="1" applyProtection="1">
      <alignment horizontal="left" vertical="center"/>
      <protection hidden="1"/>
    </xf>
    <xf numFmtId="0" fontId="15" fillId="0" borderId="25" xfId="49" applyFont="1" applyBorder="1" applyAlignment="1" applyProtection="1">
      <alignment horizontal="left" vertical="center"/>
      <protection hidden="1"/>
    </xf>
    <xf numFmtId="176" fontId="8" fillId="5" borderId="13" xfId="49" applyNumberFormat="1" applyFont="1" applyFill="1" applyBorder="1" applyAlignment="1" applyProtection="1">
      <alignment horizontal="center" vertical="center"/>
      <protection hidden="1"/>
    </xf>
    <xf numFmtId="0" fontId="8" fillId="0" borderId="25" xfId="49" applyFont="1" applyBorder="1" applyAlignment="1" applyProtection="1">
      <alignment horizontal="center" vertical="center"/>
      <protection hidden="1"/>
    </xf>
    <xf numFmtId="0" fontId="16" fillId="0" borderId="7" xfId="0" applyFont="1" applyBorder="1">
      <alignment vertical="center"/>
    </xf>
    <xf numFmtId="0" fontId="8" fillId="0" borderId="18" xfId="49" applyFont="1" applyBorder="1" applyAlignment="1" applyProtection="1">
      <alignment horizontal="center" vertical="center"/>
      <protection hidden="1"/>
    </xf>
    <xf numFmtId="10" fontId="8" fillId="5" borderId="20" xfId="49" applyNumberFormat="1" applyFont="1" applyFill="1" applyBorder="1" applyAlignment="1" applyProtection="1">
      <alignment horizontal="center" vertical="center"/>
      <protection hidden="1"/>
    </xf>
    <xf numFmtId="10" fontId="8" fillId="5" borderId="26" xfId="49" applyNumberFormat="1" applyFont="1" applyFill="1" applyBorder="1" applyAlignment="1" applyProtection="1">
      <alignment horizontal="center" vertical="center"/>
      <protection hidden="1"/>
    </xf>
    <xf numFmtId="10" fontId="8" fillId="5" borderId="21" xfId="49" applyNumberFormat="1" applyFont="1" applyFill="1" applyBorder="1" applyAlignment="1" applyProtection="1">
      <alignment horizontal="center" vertical="center"/>
      <protection hidden="1"/>
    </xf>
    <xf numFmtId="10" fontId="8" fillId="5" borderId="25" xfId="49" applyNumberFormat="1" applyFont="1" applyFill="1" applyBorder="1" applyAlignment="1" applyProtection="1">
      <alignment vertical="center"/>
      <protection hidden="1"/>
    </xf>
    <xf numFmtId="9" fontId="8" fillId="0" borderId="11" xfId="49" applyNumberFormat="1" applyFont="1" applyBorder="1" applyAlignment="1" applyProtection="1">
      <alignment horizontal="center" vertical="center"/>
      <protection hidden="1"/>
    </xf>
    <xf numFmtId="9" fontId="8" fillId="0" borderId="12" xfId="49" applyNumberFormat="1" applyFont="1" applyBorder="1" applyAlignment="1" applyProtection="1">
      <alignment horizontal="center" vertical="center"/>
      <protection hidden="1"/>
    </xf>
    <xf numFmtId="9" fontId="8" fillId="0" borderId="25" xfId="49" applyNumberFormat="1" applyFont="1" applyBorder="1" applyAlignment="1" applyProtection="1">
      <alignment horizontal="center" vertical="center"/>
      <protection hidden="1"/>
    </xf>
    <xf numFmtId="0" fontId="8" fillId="0" borderId="11" xfId="49" applyFont="1" applyBorder="1" applyAlignment="1" applyProtection="1">
      <alignment horizontal="center" vertical="center"/>
      <protection hidden="1"/>
    </xf>
    <xf numFmtId="0" fontId="8" fillId="0" borderId="12" xfId="49" applyFont="1" applyBorder="1" applyAlignment="1" applyProtection="1">
      <alignment horizontal="center" vertical="center"/>
      <protection hidden="1"/>
    </xf>
    <xf numFmtId="10" fontId="8" fillId="0" borderId="0" xfId="49" applyNumberFormat="1" applyFont="1" applyAlignment="1" applyProtection="1">
      <alignment horizontal="center" vertical="center"/>
      <protection hidden="1"/>
    </xf>
    <xf numFmtId="176" fontId="8" fillId="4" borderId="7" xfId="49" applyNumberFormat="1" applyFont="1" applyFill="1" applyBorder="1" applyAlignment="1" applyProtection="1">
      <alignment horizontal="center" vertical="center" wrapText="1"/>
      <protection hidden="1"/>
    </xf>
    <xf numFmtId="176" fontId="8" fillId="4" borderId="8" xfId="49" applyNumberFormat="1" applyFont="1" applyFill="1" applyBorder="1" applyAlignment="1" applyProtection="1">
      <alignment horizontal="left" vertical="center"/>
      <protection hidden="1"/>
    </xf>
    <xf numFmtId="176" fontId="8" fillId="4" borderId="9" xfId="49" applyNumberFormat="1" applyFont="1" applyFill="1" applyBorder="1" applyAlignment="1" applyProtection="1">
      <alignment horizontal="left" vertical="center"/>
      <protection hidden="1"/>
    </xf>
    <xf numFmtId="176" fontId="8" fillId="4" borderId="10" xfId="49" applyNumberFormat="1" applyFont="1" applyFill="1" applyBorder="1" applyAlignment="1" applyProtection="1">
      <alignment horizontal="left" vertical="center"/>
      <protection hidden="1"/>
    </xf>
    <xf numFmtId="177" fontId="8" fillId="5" borderId="8" xfId="49" applyNumberFormat="1" applyFont="1" applyFill="1" applyBorder="1" applyAlignment="1" applyProtection="1">
      <alignment horizontal="center" vertical="center"/>
      <protection hidden="1"/>
    </xf>
    <xf numFmtId="177" fontId="8" fillId="5" borderId="10" xfId="49" applyNumberFormat="1" applyFont="1" applyFill="1" applyBorder="1" applyAlignment="1" applyProtection="1">
      <alignment horizontal="center" vertical="center"/>
      <protection hidden="1"/>
    </xf>
    <xf numFmtId="177" fontId="8" fillId="5" borderId="9" xfId="49" applyNumberFormat="1" applyFont="1" applyFill="1" applyBorder="1" applyAlignment="1" applyProtection="1">
      <alignment horizontal="center" vertical="center"/>
      <protection hidden="1"/>
    </xf>
    <xf numFmtId="176" fontId="8" fillId="5" borderId="8" xfId="49" applyNumberFormat="1" applyFont="1" applyFill="1" applyBorder="1" applyAlignment="1" applyProtection="1">
      <alignment horizontal="center" vertical="center"/>
      <protection hidden="1"/>
    </xf>
    <xf numFmtId="176" fontId="8" fillId="5" borderId="10" xfId="49" applyNumberFormat="1" applyFont="1" applyFill="1" applyBorder="1" applyAlignment="1" applyProtection="1">
      <alignment horizontal="center" vertical="center"/>
      <protection hidden="1"/>
    </xf>
    <xf numFmtId="0" fontId="8" fillId="0" borderId="14" xfId="49" applyFont="1" applyBorder="1" applyAlignment="1" applyProtection="1">
      <alignment horizontal="center" vertical="center"/>
      <protection hidden="1"/>
    </xf>
    <xf numFmtId="0" fontId="8" fillId="0" borderId="15" xfId="49" applyFont="1" applyBorder="1" applyAlignment="1" applyProtection="1">
      <alignment horizontal="center" vertical="center"/>
      <protection hidden="1"/>
    </xf>
    <xf numFmtId="177" fontId="8" fillId="8" borderId="8" xfId="49" applyNumberFormat="1" applyFont="1" applyFill="1" applyBorder="1" applyAlignment="1" applyProtection="1">
      <alignment horizontal="center" vertical="center"/>
      <protection hidden="1"/>
    </xf>
    <xf numFmtId="177" fontId="8" fillId="8" borderId="10" xfId="49" applyNumberFormat="1" applyFont="1" applyFill="1" applyBorder="1" applyAlignment="1" applyProtection="1">
      <alignment horizontal="center" vertical="center"/>
      <protection hidden="1"/>
    </xf>
    <xf numFmtId="177" fontId="8" fillId="6" borderId="7" xfId="49" applyNumberFormat="1" applyFont="1" applyFill="1" applyBorder="1" applyAlignment="1" applyProtection="1">
      <alignment horizontal="center" vertical="center"/>
      <protection hidden="1"/>
    </xf>
    <xf numFmtId="177" fontId="8" fillId="4" borderId="8" xfId="49" applyNumberFormat="1" applyFont="1" applyFill="1" applyBorder="1" applyAlignment="1" applyProtection="1">
      <alignment horizontal="center" vertical="center"/>
      <protection hidden="1"/>
    </xf>
    <xf numFmtId="177" fontId="8" fillId="4" borderId="9" xfId="49" applyNumberFormat="1" applyFont="1" applyFill="1" applyBorder="1" applyAlignment="1" applyProtection="1">
      <alignment horizontal="center" vertical="center"/>
      <protection hidden="1"/>
    </xf>
    <xf numFmtId="177" fontId="8" fillId="4" borderId="10" xfId="49" applyNumberFormat="1" applyFont="1" applyFill="1" applyBorder="1" applyAlignment="1" applyProtection="1">
      <alignment horizontal="center" vertical="center"/>
      <protection hidden="1"/>
    </xf>
    <xf numFmtId="0" fontId="8" fillId="0" borderId="0" xfId="49" applyFont="1" applyFill="1" applyAlignment="1" applyProtection="1">
      <alignment vertical="center"/>
      <protection hidden="1"/>
    </xf>
    <xf numFmtId="0" fontId="8" fillId="0" borderId="24" xfId="49" applyFont="1" applyBorder="1" applyAlignment="1" applyProtection="1">
      <alignment horizontal="center" vertical="center"/>
      <protection hidden="1"/>
    </xf>
    <xf numFmtId="177" fontId="8" fillId="8" borderId="7" xfId="49" applyNumberFormat="1" applyFont="1" applyFill="1" applyBorder="1" applyAlignment="1" applyProtection="1">
      <alignment horizontal="center" vertical="center"/>
      <protection hidden="1"/>
    </xf>
    <xf numFmtId="177" fontId="8" fillId="8" borderId="9" xfId="49" applyNumberFormat="1" applyFont="1" applyFill="1" applyBorder="1" applyAlignment="1" applyProtection="1">
      <alignment horizontal="center" vertical="center"/>
      <protection hidden="1"/>
    </xf>
    <xf numFmtId="0" fontId="8" fillId="0" borderId="0" xfId="49" applyFont="1" applyProtection="1">
      <alignment vertical="center"/>
      <protection locked="0" hidden="1"/>
    </xf>
    <xf numFmtId="0" fontId="11" fillId="9" borderId="27" xfId="49" applyFont="1" applyFill="1" applyBorder="1" applyAlignment="1" applyProtection="1">
      <alignment horizontal="center" vertical="center"/>
      <protection hidden="1"/>
    </xf>
    <xf numFmtId="0" fontId="11" fillId="9" borderId="28" xfId="49" applyFont="1" applyFill="1" applyBorder="1" applyAlignment="1" applyProtection="1">
      <alignment horizontal="center" vertical="center"/>
      <protection hidden="1"/>
    </xf>
    <xf numFmtId="178" fontId="8" fillId="8" borderId="8" xfId="49" applyNumberFormat="1" applyFont="1" applyFill="1" applyBorder="1" applyAlignment="1" applyProtection="1">
      <alignment horizontal="center" vertical="center"/>
      <protection hidden="1"/>
    </xf>
    <xf numFmtId="178" fontId="8" fillId="8" borderId="9" xfId="49" applyNumberFormat="1" applyFont="1" applyFill="1" applyBorder="1" applyAlignment="1" applyProtection="1">
      <alignment horizontal="center" vertical="center"/>
      <protection hidden="1"/>
    </xf>
    <xf numFmtId="178" fontId="8" fillId="8" borderId="10" xfId="49" applyNumberFormat="1" applyFont="1" applyFill="1" applyBorder="1" applyAlignment="1" applyProtection="1">
      <alignment horizontal="center" vertical="center"/>
      <protection hidden="1"/>
    </xf>
    <xf numFmtId="179" fontId="8" fillId="0" borderId="0" xfId="49" applyNumberFormat="1" applyFont="1" applyAlignment="1" applyProtection="1">
      <alignment horizontal="center" vertical="center"/>
      <protection hidden="1"/>
    </xf>
    <xf numFmtId="0" fontId="11" fillId="9" borderId="29" xfId="49" applyFont="1" applyFill="1" applyBorder="1" applyAlignment="1" applyProtection="1">
      <alignment horizontal="center" vertical="center"/>
      <protection hidden="1"/>
    </xf>
    <xf numFmtId="0" fontId="11" fillId="9" borderId="30" xfId="49" applyFont="1" applyFill="1" applyBorder="1" applyAlignment="1" applyProtection="1">
      <alignment horizontal="center" vertical="center"/>
      <protection hidden="1"/>
    </xf>
    <xf numFmtId="179" fontId="8" fillId="8" borderId="8" xfId="49" applyNumberFormat="1" applyFont="1" applyFill="1" applyBorder="1" applyAlignment="1" applyProtection="1">
      <alignment horizontal="center" vertical="center"/>
      <protection hidden="1"/>
    </xf>
    <xf numFmtId="179" fontId="8" fillId="8" borderId="9" xfId="49" applyNumberFormat="1" applyFont="1" applyFill="1" applyBorder="1" applyAlignment="1" applyProtection="1">
      <alignment horizontal="center" vertical="center"/>
      <protection hidden="1"/>
    </xf>
    <xf numFmtId="179" fontId="8" fillId="8" borderId="10" xfId="49" applyNumberFormat="1" applyFont="1" applyFill="1" applyBorder="1" applyAlignment="1" applyProtection="1">
      <alignment horizontal="center" vertical="center"/>
      <protection hidden="1"/>
    </xf>
    <xf numFmtId="10" fontId="8" fillId="8" borderId="31" xfId="49" applyNumberFormat="1" applyFont="1" applyFill="1" applyBorder="1" applyAlignment="1" applyProtection="1">
      <alignment horizontal="center" vertical="center"/>
      <protection hidden="1"/>
    </xf>
    <xf numFmtId="10" fontId="8" fillId="8" borderId="26" xfId="49" applyNumberFormat="1" applyFont="1" applyFill="1" applyBorder="1" applyAlignment="1" applyProtection="1">
      <alignment horizontal="center" vertical="center"/>
      <protection hidden="1"/>
    </xf>
    <xf numFmtId="10" fontId="8" fillId="8" borderId="21" xfId="49" applyNumberFormat="1" applyFont="1" applyFill="1" applyBorder="1" applyAlignment="1" applyProtection="1">
      <alignment horizontal="center" vertical="center"/>
      <protection hidden="1"/>
    </xf>
    <xf numFmtId="0" fontId="11" fillId="9" borderId="32" xfId="49" applyFont="1" applyFill="1" applyBorder="1" applyAlignment="1" applyProtection="1">
      <alignment horizontal="center" vertical="center"/>
      <protection hidden="1"/>
    </xf>
    <xf numFmtId="0" fontId="11" fillId="9" borderId="33" xfId="49" applyFont="1" applyFill="1" applyBorder="1" applyAlignment="1" applyProtection="1">
      <alignment horizontal="center" vertical="center"/>
      <protection hidden="1"/>
    </xf>
    <xf numFmtId="10" fontId="8" fillId="8" borderId="8" xfId="49" applyNumberFormat="1" applyFont="1" applyFill="1" applyBorder="1" applyAlignment="1" applyProtection="1">
      <alignment horizontal="center" vertical="center"/>
      <protection hidden="1"/>
    </xf>
    <xf numFmtId="10" fontId="8" fillId="8" borderId="9" xfId="49" applyNumberFormat="1" applyFont="1" applyFill="1" applyBorder="1" applyAlignment="1" applyProtection="1">
      <alignment horizontal="center" vertical="center"/>
      <protection hidden="1"/>
    </xf>
    <xf numFmtId="10" fontId="8" fillId="8" borderId="10" xfId="49" applyNumberFormat="1" applyFont="1" applyFill="1" applyBorder="1" applyAlignment="1" applyProtection="1">
      <alignment horizontal="center" vertical="center"/>
      <protection hidden="1"/>
    </xf>
    <xf numFmtId="0" fontId="11" fillId="9" borderId="9" xfId="49" applyFont="1" applyFill="1" applyBorder="1" applyAlignment="1" applyProtection="1">
      <alignment horizontal="center" vertical="center"/>
      <protection hidden="1"/>
    </xf>
    <xf numFmtId="180" fontId="8" fillId="8" borderId="0" xfId="49" applyNumberFormat="1" applyFont="1" applyFill="1" applyBorder="1" applyAlignment="1" applyProtection="1">
      <alignment horizontal="center" vertical="center"/>
      <protection hidden="1"/>
    </xf>
    <xf numFmtId="179" fontId="8" fillId="10" borderId="8" xfId="49" applyNumberFormat="1" applyFont="1" applyFill="1" applyBorder="1" applyAlignment="1" applyProtection="1">
      <alignment horizontal="center" vertical="center"/>
      <protection locked="0"/>
    </xf>
    <xf numFmtId="179" fontId="8" fillId="10" borderId="9" xfId="49" applyNumberFormat="1" applyFont="1" applyFill="1" applyBorder="1" applyAlignment="1" applyProtection="1">
      <alignment horizontal="center" vertical="center"/>
      <protection locked="0"/>
    </xf>
    <xf numFmtId="179" fontId="8" fillId="10" borderId="10" xfId="49" applyNumberFormat="1" applyFont="1" applyFill="1" applyBorder="1" applyAlignment="1" applyProtection="1">
      <alignment horizontal="center" vertical="center"/>
      <protection locked="0"/>
    </xf>
    <xf numFmtId="0" fontId="11" fillId="7" borderId="8" xfId="49" applyFont="1" applyFill="1" applyBorder="1" applyAlignment="1" applyProtection="1">
      <alignment horizontal="center" vertical="center"/>
      <protection locked="0"/>
    </xf>
    <xf numFmtId="0" fontId="11" fillId="7" borderId="9" xfId="49" applyFont="1" applyFill="1" applyBorder="1" applyAlignment="1" applyProtection="1">
      <alignment horizontal="center" vertical="center"/>
      <protection locked="0"/>
    </xf>
    <xf numFmtId="0" fontId="11" fillId="7" borderId="12" xfId="49" applyFont="1" applyFill="1" applyBorder="1" applyAlignment="1" applyProtection="1">
      <alignment horizontal="center" vertical="center"/>
      <protection locked="0"/>
    </xf>
    <xf numFmtId="0" fontId="11" fillId="0" borderId="14" xfId="49" applyFont="1" applyFill="1" applyBorder="1" applyAlignment="1" applyProtection="1">
      <alignment horizontal="center" vertical="center"/>
      <protection locked="0"/>
    </xf>
    <xf numFmtId="0" fontId="11" fillId="0" borderId="0" xfId="49" applyFont="1" applyFill="1" applyBorder="1" applyAlignment="1" applyProtection="1">
      <alignment horizontal="center" vertical="center"/>
      <protection locked="0"/>
    </xf>
    <xf numFmtId="0" fontId="11" fillId="0" borderId="18" xfId="49" applyFont="1" applyFill="1" applyBorder="1" applyAlignment="1" applyProtection="1">
      <alignment horizontal="center" vertical="center"/>
      <protection locked="0"/>
    </xf>
    <xf numFmtId="0" fontId="11" fillId="11" borderId="17" xfId="49" applyFont="1" applyFill="1" applyBorder="1" applyAlignment="1" applyProtection="1">
      <alignment horizontal="center" vertical="center"/>
      <protection locked="0"/>
    </xf>
    <xf numFmtId="0" fontId="11" fillId="11" borderId="18" xfId="49" applyFont="1" applyFill="1" applyBorder="1" applyAlignment="1" applyProtection="1">
      <alignment horizontal="center" vertical="center"/>
      <protection locked="0"/>
    </xf>
    <xf numFmtId="0" fontId="11" fillId="11" borderId="24" xfId="49" applyFont="1" applyFill="1" applyBorder="1" applyAlignment="1" applyProtection="1">
      <alignment horizontal="center" vertical="center"/>
      <protection locked="0"/>
    </xf>
    <xf numFmtId="9" fontId="8" fillId="0" borderId="3" xfId="49" applyNumberFormat="1" applyFont="1" applyBorder="1" applyAlignment="1" applyProtection="1">
      <alignment horizontal="center" vertical="center"/>
      <protection hidden="1"/>
    </xf>
    <xf numFmtId="9" fontId="8" fillId="0" borderId="34" xfId="49" applyNumberFormat="1" applyFont="1" applyBorder="1" applyAlignment="1" applyProtection="1">
      <alignment horizontal="center" vertical="center"/>
      <protection hidden="1"/>
    </xf>
    <xf numFmtId="9" fontId="8" fillId="0" borderId="7" xfId="49" applyNumberFormat="1" applyFont="1" applyBorder="1" applyAlignment="1" applyProtection="1">
      <alignment horizontal="center" vertical="center"/>
      <protection hidden="1"/>
    </xf>
    <xf numFmtId="9" fontId="8" fillId="0" borderId="20" xfId="49" applyNumberFormat="1" applyFont="1" applyBorder="1" applyAlignment="1" applyProtection="1">
      <alignment horizontal="center" vertical="center"/>
      <protection hidden="1"/>
    </xf>
    <xf numFmtId="9" fontId="8" fillId="0" borderId="21" xfId="49" applyNumberFormat="1" applyFont="1" applyBorder="1" applyAlignment="1" applyProtection="1">
      <alignment horizontal="center" vertical="center"/>
      <protection hidden="1"/>
    </xf>
    <xf numFmtId="0" fontId="8" fillId="0" borderId="20" xfId="49" applyFont="1" applyBorder="1" applyAlignment="1" applyProtection="1">
      <alignment horizontal="center" vertical="center"/>
      <protection hidden="1"/>
    </xf>
    <xf numFmtId="0" fontId="8" fillId="0" borderId="21" xfId="49" applyFont="1" applyBorder="1" applyAlignment="1" applyProtection="1">
      <alignment horizontal="center" vertical="center"/>
      <protection hidden="1"/>
    </xf>
    <xf numFmtId="176" fontId="8" fillId="4" borderId="17" xfId="49" applyNumberFormat="1" applyFont="1" applyFill="1" applyBorder="1" applyAlignment="1" applyProtection="1">
      <alignment horizontal="center" vertical="center"/>
      <protection hidden="1"/>
    </xf>
    <xf numFmtId="176" fontId="8" fillId="4" borderId="8" xfId="49" applyNumberFormat="1" applyFont="1" applyFill="1" applyBorder="1" applyAlignment="1" applyProtection="1">
      <alignment horizontal="center" vertical="center"/>
      <protection hidden="1"/>
    </xf>
    <xf numFmtId="176" fontId="8" fillId="4" borderId="9" xfId="49" applyNumberFormat="1" applyFont="1" applyFill="1" applyBorder="1" applyAlignment="1" applyProtection="1">
      <alignment horizontal="center" vertical="center"/>
      <protection hidden="1"/>
    </xf>
    <xf numFmtId="0" fontId="11" fillId="9" borderId="8" xfId="49" applyFont="1" applyFill="1" applyBorder="1" applyAlignment="1" applyProtection="1">
      <alignment horizontal="center" vertical="center" wrapText="1"/>
      <protection hidden="1"/>
    </xf>
    <xf numFmtId="0" fontId="11" fillId="9" borderId="10" xfId="49" applyFont="1" applyFill="1" applyBorder="1" applyAlignment="1" applyProtection="1">
      <alignment horizontal="center" vertical="center" wrapText="1"/>
      <protection hidden="1"/>
    </xf>
    <xf numFmtId="177" fontId="8" fillId="8" borderId="0" xfId="49" applyNumberFormat="1" applyFont="1" applyFill="1" applyBorder="1" applyAlignment="1" applyProtection="1">
      <alignment horizontal="center" vertical="center"/>
      <protection hidden="1"/>
    </xf>
    <xf numFmtId="10" fontId="8" fillId="10" borderId="8" xfId="49" applyNumberFormat="1" applyFont="1" applyFill="1" applyBorder="1" applyAlignment="1" applyProtection="1">
      <alignment horizontal="center" vertical="center"/>
      <protection locked="0"/>
    </xf>
    <xf numFmtId="10" fontId="8" fillId="10" borderId="9" xfId="49" applyNumberFormat="1" applyFont="1" applyFill="1" applyBorder="1" applyAlignment="1" applyProtection="1">
      <alignment horizontal="center" vertical="center"/>
      <protection locked="0"/>
    </xf>
    <xf numFmtId="10" fontId="8" fillId="10" borderId="10" xfId="49" applyNumberFormat="1" applyFont="1" applyFill="1" applyBorder="1" applyAlignment="1" applyProtection="1">
      <alignment horizontal="center" vertical="center"/>
      <protection locked="0"/>
    </xf>
    <xf numFmtId="0" fontId="12" fillId="0" borderId="0" xfId="49" applyFont="1" applyAlignment="1" applyProtection="1">
      <alignment horizontal="left" vertical="center"/>
      <protection locked="0"/>
    </xf>
    <xf numFmtId="0" fontId="8" fillId="0" borderId="0" xfId="49" applyFont="1" applyAlignment="1" applyProtection="1">
      <alignment horizontal="left" vertical="center"/>
      <protection locked="0"/>
    </xf>
    <xf numFmtId="177" fontId="8" fillId="0" borderId="0" xfId="49" applyNumberFormat="1" applyFont="1" applyProtection="1">
      <alignment vertical="center"/>
      <protection locked="0"/>
    </xf>
    <xf numFmtId="0" fontId="12" fillId="0" borderId="0" xfId="49" applyFont="1" applyProtection="1">
      <alignment vertical="center"/>
      <protection locked="0"/>
    </xf>
    <xf numFmtId="0" fontId="17" fillId="0" borderId="0" xfId="0" applyFont="1" applyProtection="1">
      <alignment vertical="center"/>
      <protection locked="0"/>
    </xf>
    <xf numFmtId="0" fontId="18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19" fillId="0" borderId="27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18" fillId="0" borderId="12" xfId="0" applyFont="1" applyBorder="1">
      <alignment vertical="center"/>
    </xf>
    <xf numFmtId="0" fontId="20" fillId="12" borderId="5" xfId="0" applyFont="1" applyFill="1" applyBorder="1" applyAlignment="1">
      <alignment horizontal="center" vertical="center" wrapText="1"/>
    </xf>
    <xf numFmtId="0" fontId="20" fillId="12" borderId="36" xfId="0" applyFont="1" applyFill="1" applyBorder="1" applyAlignment="1">
      <alignment horizontal="center" vertical="center" wrapText="1"/>
    </xf>
    <xf numFmtId="0" fontId="20" fillId="12" borderId="37" xfId="0" applyFont="1" applyFill="1" applyBorder="1" applyAlignment="1">
      <alignment horizontal="center" vertical="center" wrapText="1"/>
    </xf>
    <xf numFmtId="0" fontId="20" fillId="12" borderId="38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2" fillId="3" borderId="5" xfId="0" applyFont="1" applyFill="1" applyBorder="1" applyAlignment="1" applyProtection="1">
      <alignment horizontal="center" vertical="center" wrapText="1"/>
      <protection locked="0"/>
    </xf>
    <xf numFmtId="0" fontId="23" fillId="0" borderId="39" xfId="0" applyFont="1" applyBorder="1" applyAlignment="1">
      <alignment horizontal="center" vertical="center" wrapText="1"/>
    </xf>
    <xf numFmtId="0" fontId="23" fillId="0" borderId="40" xfId="0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57" fontId="22" fillId="3" borderId="5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5" xfId="0" applyFont="1" applyFill="1" applyBorder="1" applyAlignment="1">
      <alignment horizontal="center" vertical="center" wrapText="1"/>
    </xf>
    <xf numFmtId="178" fontId="22" fillId="3" borderId="5" xfId="0" applyNumberFormat="1" applyFont="1" applyFill="1" applyBorder="1" applyAlignment="1">
      <alignment horizontal="center" vertical="center" wrapText="1"/>
    </xf>
    <xf numFmtId="0" fontId="22" fillId="5" borderId="5" xfId="0" applyFont="1" applyFill="1" applyBorder="1" applyAlignment="1" applyProtection="1">
      <alignment horizontal="center" vertical="center" wrapText="1"/>
      <protection locked="0"/>
    </xf>
    <xf numFmtId="0" fontId="23" fillId="0" borderId="37" xfId="0" applyFont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0" fontId="23" fillId="0" borderId="44" xfId="0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21" fillId="9" borderId="5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0" fontId="22" fillId="13" borderId="5" xfId="49" applyNumberFormat="1" applyFont="1" applyFill="1" applyBorder="1" applyAlignment="1">
      <alignment horizontal="center" vertical="center" wrapText="1"/>
    </xf>
    <xf numFmtId="176" fontId="22" fillId="13" borderId="5" xfId="49" applyNumberFormat="1" applyFont="1" applyFill="1" applyBorder="1" applyAlignment="1">
      <alignment horizontal="center" vertical="center" wrapText="1"/>
    </xf>
    <xf numFmtId="10" fontId="22" fillId="14" borderId="5" xfId="49" applyNumberFormat="1" applyFont="1" applyFill="1" applyBorder="1" applyAlignment="1">
      <alignment horizontal="center" vertical="center" wrapText="1"/>
    </xf>
    <xf numFmtId="179" fontId="22" fillId="13" borderId="5" xfId="49" applyNumberFormat="1" applyFont="1" applyFill="1" applyBorder="1" applyAlignment="1">
      <alignment horizontal="center" vertical="center" wrapText="1"/>
    </xf>
    <xf numFmtId="10" fontId="22" fillId="14" borderId="36" xfId="49" applyNumberFormat="1" applyFont="1" applyFill="1" applyBorder="1" applyAlignment="1">
      <alignment horizontal="center" vertical="center" wrapText="1"/>
    </xf>
    <xf numFmtId="179" fontId="22" fillId="14" borderId="45" xfId="49" applyNumberFormat="1" applyFont="1" applyFill="1" applyBorder="1" applyAlignment="1">
      <alignment horizontal="center" vertical="center" wrapText="1"/>
    </xf>
    <xf numFmtId="10" fontId="22" fillId="14" borderId="45" xfId="49" applyNumberFormat="1" applyFont="1" applyFill="1" applyBorder="1" applyAlignment="1">
      <alignment horizontal="center" vertical="center" wrapText="1"/>
    </xf>
    <xf numFmtId="0" fontId="20" fillId="12" borderId="46" xfId="0" applyFont="1" applyFill="1" applyBorder="1" applyAlignment="1">
      <alignment horizontal="left" vertical="center" wrapText="1"/>
    </xf>
    <xf numFmtId="0" fontId="20" fillId="12" borderId="45" xfId="0" applyFont="1" applyFill="1" applyBorder="1" applyAlignment="1">
      <alignment horizontal="left" vertical="center" wrapText="1"/>
    </xf>
    <xf numFmtId="0" fontId="25" fillId="0" borderId="20" xfId="0" applyFont="1" applyBorder="1" applyAlignment="1">
      <alignment horizontal="center" vertical="center"/>
    </xf>
    <xf numFmtId="0" fontId="23" fillId="0" borderId="47" xfId="0" applyFont="1" applyBorder="1" applyAlignment="1">
      <alignment horizontal="left" vertical="center" wrapText="1"/>
    </xf>
    <xf numFmtId="0" fontId="23" fillId="0" borderId="48" xfId="0" applyFont="1" applyBorder="1" applyAlignment="1">
      <alignment horizontal="center" vertical="center" wrapText="1"/>
    </xf>
    <xf numFmtId="0" fontId="23" fillId="0" borderId="49" xfId="0" applyFont="1" applyBorder="1" applyAlignment="1">
      <alignment horizontal="center" vertical="center" wrapText="1"/>
    </xf>
    <xf numFmtId="180" fontId="19" fillId="0" borderId="43" xfId="0" applyNumberFormat="1" applyFont="1" applyFill="1" applyBorder="1" applyAlignment="1" applyProtection="1">
      <alignment horizontal="center" vertical="center" wrapText="1"/>
    </xf>
    <xf numFmtId="180" fontId="19" fillId="0" borderId="50" xfId="0" applyNumberFormat="1" applyFont="1" applyFill="1" applyBorder="1" applyAlignment="1" applyProtection="1">
      <alignment horizontal="center" vertical="center" wrapText="1"/>
    </xf>
    <xf numFmtId="180" fontId="19" fillId="0" borderId="0" xfId="0" applyNumberFormat="1" applyFont="1" applyFill="1" applyBorder="1" applyAlignment="1" applyProtection="1">
      <alignment horizontal="center" vertical="center" wrapText="1"/>
    </xf>
    <xf numFmtId="0" fontId="20" fillId="12" borderId="46" xfId="0" applyFont="1" applyFill="1" applyBorder="1" applyAlignment="1">
      <alignment horizontal="center" vertical="center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180" fontId="24" fillId="0" borderId="41" xfId="0" applyNumberFormat="1" applyFont="1" applyFill="1" applyBorder="1" applyAlignment="1" applyProtection="1">
      <alignment horizontal="center" vertical="center" wrapText="1"/>
    </xf>
    <xf numFmtId="180" fontId="22" fillId="15" borderId="5" xfId="0" applyNumberFormat="1" applyFont="1" applyFill="1" applyBorder="1" applyAlignment="1" applyProtection="1">
      <alignment horizontal="center" vertical="center" wrapText="1"/>
    </xf>
    <xf numFmtId="180" fontId="19" fillId="0" borderId="41" xfId="0" applyNumberFormat="1" applyFont="1" applyFill="1" applyBorder="1" applyAlignment="1" applyProtection="1">
      <alignment horizontal="center" vertical="center" wrapText="1"/>
    </xf>
    <xf numFmtId="180" fontId="19" fillId="0" borderId="42" xfId="0" applyNumberFormat="1" applyFont="1" applyFill="1" applyBorder="1" applyAlignment="1" applyProtection="1">
      <alignment horizontal="center" vertical="center" wrapText="1"/>
    </xf>
    <xf numFmtId="0" fontId="21" fillId="0" borderId="48" xfId="0" applyFont="1" applyBorder="1" applyAlignment="1" applyProtection="1">
      <alignment horizontal="center" vertical="center"/>
      <protection locked="0"/>
    </xf>
    <xf numFmtId="0" fontId="17" fillId="16" borderId="32" xfId="0" applyFont="1" applyFill="1" applyBorder="1" applyAlignment="1" applyProtection="1">
      <alignment horizontal="center" vertical="center"/>
      <protection locked="0"/>
    </xf>
    <xf numFmtId="0" fontId="21" fillId="0" borderId="48" xfId="0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center" vertical="center"/>
      <protection locked="0"/>
    </xf>
    <xf numFmtId="0" fontId="26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 wrapText="1"/>
    </xf>
    <xf numFmtId="0" fontId="28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left" vertical="center" wrapText="1"/>
    </xf>
    <xf numFmtId="0" fontId="27" fillId="3" borderId="4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 wrapText="1"/>
    </xf>
    <xf numFmtId="0" fontId="27" fillId="3" borderId="2" xfId="0" applyFont="1" applyFill="1" applyBorder="1" applyAlignment="1">
      <alignment horizontal="center" vertical="center" wrapText="1"/>
    </xf>
    <xf numFmtId="0" fontId="28" fillId="3" borderId="2" xfId="0" applyFont="1" applyFill="1" applyBorder="1" applyAlignment="1">
      <alignment horizontal="left" vertical="center" wrapText="1"/>
    </xf>
    <xf numFmtId="0" fontId="27" fillId="3" borderId="4" xfId="0" applyFont="1" applyFill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H21" sqref="H21"/>
    </sheetView>
  </sheetViews>
  <sheetFormatPr defaultColWidth="9" defaultRowHeight="13.6" outlineLevelCol="7"/>
  <cols>
    <col min="1" max="1" width="8.77884615384615" style="246" customWidth="1"/>
    <col min="2" max="2" width="19.6634615384615" style="246" customWidth="1"/>
    <col min="3" max="3" width="16.6634615384615" style="246" customWidth="1"/>
    <col min="4" max="4" width="26.6634615384615" style="246" customWidth="1"/>
    <col min="5" max="5" width="40.8846153846154" style="247" customWidth="1"/>
    <col min="6" max="7" width="5" style="246" customWidth="1"/>
    <col min="8" max="8" width="57.1153846153846" style="246" customWidth="1"/>
    <col min="9" max="16" width="5" style="246" customWidth="1"/>
    <col min="17" max="16384" width="9" style="246"/>
  </cols>
  <sheetData>
    <row r="1" s="245" customFormat="1" ht="15.2" spans="1:8">
      <c r="A1" s="248" t="s">
        <v>0</v>
      </c>
      <c r="B1" s="248"/>
      <c r="C1" s="248"/>
      <c r="D1" s="248"/>
      <c r="E1" s="249"/>
      <c r="F1" s="250"/>
      <c r="G1" s="250"/>
      <c r="H1" s="250"/>
    </row>
    <row r="2" ht="15.2" spans="1:8">
      <c r="A2" s="251" t="s">
        <v>1</v>
      </c>
      <c r="B2" s="251"/>
      <c r="C2" s="251"/>
      <c r="D2" s="251"/>
      <c r="E2" s="251"/>
      <c r="F2" s="251"/>
      <c r="G2" s="251"/>
      <c r="H2" s="251"/>
    </row>
    <row r="3" ht="16" spans="1:8">
      <c r="A3" s="251" t="s">
        <v>2</v>
      </c>
      <c r="B3" s="251"/>
      <c r="C3" s="251"/>
      <c r="D3" s="251"/>
      <c r="E3" s="251"/>
      <c r="F3" s="251"/>
      <c r="G3" s="251"/>
      <c r="H3" s="251"/>
    </row>
    <row r="4" ht="34.2" customHeight="1" spans="1:8">
      <c r="A4" s="252" t="s">
        <v>3</v>
      </c>
      <c r="B4" s="252"/>
      <c r="C4" s="252"/>
      <c r="D4" s="252"/>
      <c r="E4" s="252"/>
      <c r="F4" s="252"/>
      <c r="G4" s="252"/>
      <c r="H4" s="252"/>
    </row>
    <row r="5" ht="67" customHeight="1" spans="1:8">
      <c r="A5" s="252" t="s">
        <v>4</v>
      </c>
      <c r="B5" s="252"/>
      <c r="C5" s="252"/>
      <c r="D5" s="252"/>
      <c r="E5" s="252"/>
      <c r="F5" s="252"/>
      <c r="G5" s="252"/>
      <c r="H5" s="252"/>
    </row>
    <row r="6" ht="15.2" spans="1:8">
      <c r="A6" s="251" t="s">
        <v>5</v>
      </c>
      <c r="B6" s="251"/>
      <c r="C6" s="251"/>
      <c r="D6" s="251"/>
      <c r="E6" s="251"/>
      <c r="F6" s="253"/>
      <c r="G6" s="253"/>
      <c r="H6" s="253"/>
    </row>
    <row r="7" ht="15.2" spans="1:8">
      <c r="A7" s="248" t="s">
        <v>6</v>
      </c>
      <c r="B7" s="253"/>
      <c r="C7" s="253"/>
      <c r="D7" s="253"/>
      <c r="E7" s="254"/>
      <c r="F7" s="253"/>
      <c r="G7" s="253"/>
      <c r="H7" s="253"/>
    </row>
    <row r="8" ht="15.2" spans="1:8">
      <c r="A8" s="255" t="s">
        <v>7</v>
      </c>
      <c r="B8" s="255" t="s">
        <v>8</v>
      </c>
      <c r="C8" s="255" t="s">
        <v>9</v>
      </c>
      <c r="D8" s="255" t="s">
        <v>10</v>
      </c>
      <c r="E8" s="255" t="s">
        <v>11</v>
      </c>
      <c r="F8" s="253"/>
      <c r="G8" s="253"/>
      <c r="H8" s="253"/>
    </row>
    <row r="9" ht="15.2" spans="1:8">
      <c r="A9" s="256">
        <v>1</v>
      </c>
      <c r="B9" s="255" t="s">
        <v>12</v>
      </c>
      <c r="C9" s="256" t="s">
        <v>13</v>
      </c>
      <c r="D9" s="257" t="s">
        <v>14</v>
      </c>
      <c r="E9" s="258" t="s">
        <v>15</v>
      </c>
      <c r="F9" s="253"/>
      <c r="G9" s="253"/>
      <c r="H9" s="253"/>
    </row>
    <row r="10" ht="15.2" spans="1:8">
      <c r="A10" s="259"/>
      <c r="B10" s="255"/>
      <c r="C10" s="259"/>
      <c r="D10" s="257"/>
      <c r="E10" s="258"/>
      <c r="F10" s="253"/>
      <c r="G10" s="253"/>
      <c r="H10" s="253"/>
    </row>
    <row r="11" ht="61" spans="1:8">
      <c r="A11" s="259">
        <v>2</v>
      </c>
      <c r="B11" s="255" t="s">
        <v>16</v>
      </c>
      <c r="C11" s="255" t="s">
        <v>13</v>
      </c>
      <c r="D11" s="258" t="s">
        <v>17</v>
      </c>
      <c r="E11" s="258" t="s">
        <v>18</v>
      </c>
      <c r="F11" s="253"/>
      <c r="G11" s="253"/>
      <c r="H11" s="253"/>
    </row>
    <row r="12" ht="31" spans="1:8">
      <c r="A12" s="260">
        <v>3</v>
      </c>
      <c r="B12" s="260" t="s">
        <v>19</v>
      </c>
      <c r="C12" s="255" t="s">
        <v>13</v>
      </c>
      <c r="D12" s="258" t="s">
        <v>20</v>
      </c>
      <c r="E12" s="258" t="s">
        <v>21</v>
      </c>
      <c r="F12" s="253"/>
      <c r="G12" s="253"/>
      <c r="H12" s="253"/>
    </row>
    <row r="13" ht="15.2" spans="1:8">
      <c r="A13" s="261">
        <v>4</v>
      </c>
      <c r="B13" s="261" t="s">
        <v>22</v>
      </c>
      <c r="C13" s="256" t="s">
        <v>13</v>
      </c>
      <c r="D13" s="262" t="s">
        <v>23</v>
      </c>
      <c r="E13" s="262" t="s">
        <v>24</v>
      </c>
      <c r="F13" s="253"/>
      <c r="G13" s="253"/>
      <c r="H13" s="253"/>
    </row>
    <row r="14" ht="30.6" customHeight="1" spans="1:8">
      <c r="A14" s="263"/>
      <c r="B14" s="263"/>
      <c r="C14" s="264"/>
      <c r="D14" s="265"/>
      <c r="E14" s="265"/>
      <c r="F14" s="253"/>
      <c r="G14" s="253"/>
      <c r="H14" s="253"/>
    </row>
    <row r="15" ht="61" spans="1:8">
      <c r="A15" s="255">
        <v>5</v>
      </c>
      <c r="B15" s="255" t="s">
        <v>25</v>
      </c>
      <c r="C15" s="255" t="s">
        <v>26</v>
      </c>
      <c r="D15" s="258" t="s">
        <v>27</v>
      </c>
      <c r="E15" s="258" t="s">
        <v>28</v>
      </c>
      <c r="F15" s="253"/>
      <c r="G15" s="253"/>
      <c r="H15" s="253"/>
    </row>
    <row r="16" ht="31" spans="1:8">
      <c r="A16" s="255">
        <v>6</v>
      </c>
      <c r="B16" s="255" t="s">
        <v>29</v>
      </c>
      <c r="C16" s="255" t="s">
        <v>30</v>
      </c>
      <c r="D16" s="258" t="s">
        <v>31</v>
      </c>
      <c r="E16" s="258" t="s">
        <v>32</v>
      </c>
      <c r="F16" s="253"/>
      <c r="G16" s="253"/>
      <c r="H16" s="253"/>
    </row>
    <row r="17" ht="46" spans="1:5">
      <c r="A17" s="255">
        <v>7</v>
      </c>
      <c r="B17" s="255" t="s">
        <v>33</v>
      </c>
      <c r="C17" s="255" t="s">
        <v>13</v>
      </c>
      <c r="D17" s="258" t="s">
        <v>34</v>
      </c>
      <c r="E17" s="258" t="s">
        <v>35</v>
      </c>
    </row>
    <row r="18" ht="31" spans="1:5">
      <c r="A18" s="255">
        <v>8</v>
      </c>
      <c r="B18" s="260" t="s">
        <v>36</v>
      </c>
      <c r="C18" s="255" t="s">
        <v>13</v>
      </c>
      <c r="D18" s="266" t="s">
        <v>37</v>
      </c>
      <c r="E18" s="258" t="s">
        <v>38</v>
      </c>
    </row>
    <row r="19" ht="46" spans="1:5">
      <c r="A19" s="255">
        <v>9</v>
      </c>
      <c r="B19" s="260" t="s">
        <v>39</v>
      </c>
      <c r="C19" s="255" t="s">
        <v>26</v>
      </c>
      <c r="D19" s="266" t="s">
        <v>40</v>
      </c>
      <c r="E19" s="258" t="s">
        <v>41</v>
      </c>
    </row>
    <row r="20" ht="31" spans="1:5">
      <c r="A20" s="255">
        <v>10</v>
      </c>
      <c r="B20" s="260" t="s">
        <v>42</v>
      </c>
      <c r="C20" s="255" t="s">
        <v>26</v>
      </c>
      <c r="D20" s="266" t="s">
        <v>43</v>
      </c>
      <c r="E20" s="258" t="s">
        <v>44</v>
      </c>
    </row>
    <row r="21" ht="46" spans="1:5">
      <c r="A21" s="255">
        <v>11</v>
      </c>
      <c r="B21" s="260" t="s">
        <v>45</v>
      </c>
      <c r="C21" s="255" t="s">
        <v>26</v>
      </c>
      <c r="D21" s="266" t="s">
        <v>46</v>
      </c>
      <c r="E21" s="258" t="s">
        <v>47</v>
      </c>
    </row>
    <row r="22" ht="46" spans="1:5">
      <c r="A22" s="255">
        <v>12</v>
      </c>
      <c r="B22" s="260" t="s">
        <v>48</v>
      </c>
      <c r="C22" s="255" t="s">
        <v>26</v>
      </c>
      <c r="D22" s="266" t="s">
        <v>49</v>
      </c>
      <c r="E22" s="258" t="s">
        <v>50</v>
      </c>
    </row>
  </sheetData>
  <mergeCells count="15">
    <mergeCell ref="A2:H2"/>
    <mergeCell ref="A3:H3"/>
    <mergeCell ref="A4:H4"/>
    <mergeCell ref="A5:H5"/>
    <mergeCell ref="A6:E6"/>
    <mergeCell ref="A9:A10"/>
    <mergeCell ref="A13:A14"/>
    <mergeCell ref="B9:B10"/>
    <mergeCell ref="B13:B14"/>
    <mergeCell ref="C9:C10"/>
    <mergeCell ref="C13:C14"/>
    <mergeCell ref="D9:D10"/>
    <mergeCell ref="D13:D14"/>
    <mergeCell ref="E9:E10"/>
    <mergeCell ref="E13:E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40"/>
  <sheetViews>
    <sheetView zoomScale="90" zoomScaleNormal="90" topLeftCell="A31" workbookViewId="0">
      <selection activeCell="B59" sqref="B59"/>
    </sheetView>
  </sheetViews>
  <sheetFormatPr defaultColWidth="9" defaultRowHeight="17.6" outlineLevelCol="3"/>
  <cols>
    <col min="1" max="1" width="62.6634615384615" style="187" customWidth="1"/>
    <col min="2" max="2" width="88.7788461538462" style="188" customWidth="1"/>
    <col min="3" max="3" width="18.1153846153846" style="188" customWidth="1"/>
    <col min="4" max="4" width="9.24038461538461" style="188" customWidth="1"/>
    <col min="5" max="16384" width="9" style="188"/>
  </cols>
  <sheetData>
    <row r="1" ht="1.5" customHeight="1"/>
    <row r="2" ht="26.7" customHeight="1" spans="1:4">
      <c r="A2" s="189" t="s">
        <v>51</v>
      </c>
      <c r="B2" s="190"/>
      <c r="C2" s="190"/>
      <c r="D2" s="191"/>
    </row>
    <row r="3" ht="21.15" spans="1:4">
      <c r="A3" s="192" t="s">
        <v>52</v>
      </c>
      <c r="B3" s="193"/>
      <c r="C3" s="194" t="s">
        <v>53</v>
      </c>
      <c r="D3" s="195"/>
    </row>
    <row r="4" ht="16.95" customHeight="1" spans="1:4">
      <c r="A4" s="196" t="s">
        <v>54</v>
      </c>
      <c r="B4" s="197" t="s">
        <v>55</v>
      </c>
      <c r="C4" s="198" t="s">
        <v>56</v>
      </c>
      <c r="D4" s="199"/>
    </row>
    <row r="5" ht="16.95" customHeight="1" spans="1:4">
      <c r="A5" s="196" t="s">
        <v>57</v>
      </c>
      <c r="B5" s="197" t="s">
        <v>58</v>
      </c>
      <c r="C5" s="200"/>
      <c r="D5" s="201"/>
    </row>
    <row r="6" ht="16.95" customHeight="1" spans="1:4">
      <c r="A6" s="196" t="s">
        <v>59</v>
      </c>
      <c r="B6" s="202" t="s">
        <v>60</v>
      </c>
      <c r="C6" s="200"/>
      <c r="D6" s="201"/>
    </row>
    <row r="7" ht="16.95" customHeight="1" spans="1:4">
      <c r="A7" s="196" t="s">
        <v>61</v>
      </c>
      <c r="B7" s="203" t="s">
        <v>62</v>
      </c>
      <c r="C7" s="200"/>
      <c r="D7" s="201"/>
    </row>
    <row r="8" ht="16.95" customHeight="1" spans="1:4">
      <c r="A8" s="196" t="s">
        <v>63</v>
      </c>
      <c r="B8" s="204">
        <v>1</v>
      </c>
      <c r="C8" s="200"/>
      <c r="D8" s="201"/>
    </row>
    <row r="9" ht="16.95" customHeight="1" spans="1:4">
      <c r="A9" s="196" t="s">
        <v>64</v>
      </c>
      <c r="B9" s="204" t="s">
        <v>65</v>
      </c>
      <c r="C9" s="200"/>
      <c r="D9" s="201"/>
    </row>
    <row r="10" ht="16.95" customHeight="1" spans="1:4">
      <c r="A10" s="196" t="s">
        <v>66</v>
      </c>
      <c r="B10" s="205">
        <f>'3-直接经济效益评估表'!G32</f>
        <v>9462.64</v>
      </c>
      <c r="C10" s="206" t="s">
        <v>67</v>
      </c>
      <c r="D10" s="207"/>
    </row>
    <row r="11" ht="16.95" customHeight="1" spans="1:4">
      <c r="A11" s="196" t="s">
        <v>68</v>
      </c>
      <c r="B11" s="205">
        <f>SUM('3-直接经济效益评估表'!G13:G22)</f>
        <v>9190.16</v>
      </c>
      <c r="C11" s="208"/>
      <c r="D11" s="209"/>
    </row>
    <row r="12" ht="16.95" customHeight="1" spans="1:4">
      <c r="A12" s="196" t="s">
        <v>69</v>
      </c>
      <c r="B12" s="205">
        <f>SUM('3-直接经济效益评估表'!G23:G27)</f>
        <v>272.48</v>
      </c>
      <c r="C12" s="208"/>
      <c r="D12" s="209"/>
    </row>
    <row r="13" ht="16.95" customHeight="1" spans="1:4">
      <c r="A13" s="196" t="s">
        <v>70</v>
      </c>
      <c r="B13" s="205">
        <f>SUM('3-直接经济效益评估表'!G28)</f>
        <v>0</v>
      </c>
      <c r="C13" s="208"/>
      <c r="D13" s="209"/>
    </row>
    <row r="14" ht="16.95" customHeight="1" spans="1:4">
      <c r="A14" s="196" t="s">
        <v>71</v>
      </c>
      <c r="B14" s="205">
        <f>SUM('3-直接经济效益评估表'!G29:G31)</f>
        <v>0</v>
      </c>
      <c r="C14" s="210"/>
      <c r="D14" s="211"/>
    </row>
    <row r="15" ht="16.95" customHeight="1" spans="1:4">
      <c r="A15" s="196" t="s">
        <v>72</v>
      </c>
      <c r="B15" s="205">
        <f>'3-直接经济效益评估表'!G12</f>
        <v>13519.03</v>
      </c>
      <c r="C15" s="212" t="s">
        <v>73</v>
      </c>
      <c r="D15" s="213"/>
    </row>
    <row r="16" ht="16.95" customHeight="1" spans="1:4">
      <c r="A16" s="196" t="s">
        <v>74</v>
      </c>
      <c r="B16" s="205">
        <f>SUM('3-直接经济效益评估表'!G3:G8)</f>
        <v>12924.53</v>
      </c>
      <c r="C16" s="212"/>
      <c r="D16" s="213"/>
    </row>
    <row r="17" ht="16.95" customHeight="1" spans="1:4">
      <c r="A17" s="196" t="s">
        <v>75</v>
      </c>
      <c r="B17" s="205">
        <f>SUM('3-直接经济效益评估表'!G9:G10)</f>
        <v>594.5</v>
      </c>
      <c r="C17" s="212"/>
      <c r="D17" s="213"/>
    </row>
    <row r="18" ht="16.95" customHeight="1" spans="1:4">
      <c r="A18" s="196" t="s">
        <v>76</v>
      </c>
      <c r="B18" s="205">
        <f>'3-直接经济效益评估表'!G11</f>
        <v>0</v>
      </c>
      <c r="C18" s="212"/>
      <c r="D18" s="213"/>
    </row>
    <row r="19" ht="20.4" spans="1:4">
      <c r="A19" s="192" t="s">
        <v>77</v>
      </c>
      <c r="B19" s="193"/>
      <c r="C19" s="214"/>
      <c r="D19" s="215"/>
    </row>
    <row r="20" ht="21" spans="1:4">
      <c r="A20" s="196" t="s">
        <v>78</v>
      </c>
      <c r="B20" s="216" t="s">
        <v>79</v>
      </c>
      <c r="C20" s="212" t="s">
        <v>73</v>
      </c>
      <c r="D20" s="213"/>
    </row>
    <row r="21" ht="21" spans="1:4">
      <c r="A21" s="217" t="s">
        <v>80</v>
      </c>
      <c r="B21" s="218">
        <v>0.055</v>
      </c>
      <c r="C21" s="212"/>
      <c r="D21" s="213"/>
    </row>
    <row r="22" ht="21" spans="1:4">
      <c r="A22" s="217" t="s">
        <v>81</v>
      </c>
      <c r="B22" s="219">
        <f>'3-直接经济效益评估表'!C45</f>
        <v>3844.91943127962</v>
      </c>
      <c r="C22" s="212"/>
      <c r="D22" s="213"/>
    </row>
    <row r="23" ht="21" spans="1:4">
      <c r="A23" s="217" t="s">
        <v>82</v>
      </c>
      <c r="B23" s="220">
        <f>'3-直接经济效益评估表'!C47</f>
        <v>0.428674238901617</v>
      </c>
      <c r="C23" s="212"/>
      <c r="D23" s="213"/>
    </row>
    <row r="24" ht="21" spans="1:4">
      <c r="A24" s="217" t="s">
        <v>83</v>
      </c>
      <c r="B24" s="221">
        <f>'3-直接经济效益评估表'!C46</f>
        <v>1</v>
      </c>
      <c r="C24" s="212"/>
      <c r="D24" s="213"/>
    </row>
    <row r="25" ht="21" spans="1:4">
      <c r="A25" s="217" t="s">
        <v>84</v>
      </c>
      <c r="B25" s="218">
        <f>'3-直接经济效益评估表'!C49</f>
        <v>0.300050373436556</v>
      </c>
      <c r="C25" s="212"/>
      <c r="D25" s="213"/>
    </row>
    <row r="26" ht="21" spans="1:4">
      <c r="A26" s="217" t="s">
        <v>85</v>
      </c>
      <c r="B26" s="220" t="e">
        <f>'3-直接经济效益评估表'!C48</f>
        <v>#NUM!</v>
      </c>
      <c r="C26" s="212"/>
      <c r="D26" s="213"/>
    </row>
    <row r="27" ht="21" spans="1:4">
      <c r="A27" s="217" t="s">
        <v>86</v>
      </c>
      <c r="B27" s="222">
        <f>'3-直接经济效益评估表'!C65</f>
        <v>0.40634439443927</v>
      </c>
      <c r="C27" s="212"/>
      <c r="D27" s="213"/>
    </row>
    <row r="28" ht="21" spans="1:4">
      <c r="A28" s="217" t="s">
        <v>87</v>
      </c>
      <c r="B28" s="223">
        <f>'3-直接经济效益评估表'!C50</f>
        <v>1</v>
      </c>
      <c r="C28" s="212"/>
      <c r="D28" s="213"/>
    </row>
    <row r="29" ht="21" spans="1:4">
      <c r="A29" s="217" t="s">
        <v>88</v>
      </c>
      <c r="B29" s="224">
        <f>'3-直接经济效益评估表'!C66</f>
        <v>0.288936618971831</v>
      </c>
      <c r="C29" s="212"/>
      <c r="D29" s="213"/>
    </row>
    <row r="30" ht="21.75" spans="1:4">
      <c r="A30" s="225" t="s">
        <v>89</v>
      </c>
      <c r="B30" s="226" t="s">
        <v>90</v>
      </c>
      <c r="C30" s="200" t="s">
        <v>91</v>
      </c>
      <c r="D30" s="201"/>
    </row>
    <row r="31" ht="55" customHeight="1" spans="1:4">
      <c r="A31" s="227" t="s">
        <v>92</v>
      </c>
      <c r="B31" s="228" t="s">
        <v>93</v>
      </c>
      <c r="C31" s="229"/>
      <c r="D31" s="230"/>
    </row>
    <row r="33" s="186" customFormat="1" ht="30" customHeight="1" spans="1:4">
      <c r="A33" s="231" t="s">
        <v>94</v>
      </c>
      <c r="B33" s="232"/>
      <c r="C33" s="233"/>
      <c r="D33" s="233"/>
    </row>
    <row r="34" s="186" customFormat="1" ht="38" customHeight="1" spans="1:4">
      <c r="A34" s="234" t="s">
        <v>78</v>
      </c>
      <c r="B34" s="234" t="s">
        <v>95</v>
      </c>
      <c r="C34" s="235" t="s">
        <v>96</v>
      </c>
      <c r="D34" s="236"/>
    </row>
    <row r="35" s="186" customFormat="1" ht="30" customHeight="1" spans="1:4">
      <c r="A35" s="237" t="s">
        <v>97</v>
      </c>
      <c r="B35" s="238" t="s">
        <v>98</v>
      </c>
      <c r="C35" s="239"/>
      <c r="D35" s="240"/>
    </row>
    <row r="36" s="186" customFormat="1" ht="30" customHeight="1" spans="1:4">
      <c r="A36" s="237" t="s">
        <v>99</v>
      </c>
      <c r="B36" s="238" t="s">
        <v>100</v>
      </c>
      <c r="C36" s="239"/>
      <c r="D36" s="240"/>
    </row>
    <row r="37" s="186" customFormat="1" ht="30" customHeight="1" spans="1:4">
      <c r="A37" s="237" t="s">
        <v>101</v>
      </c>
      <c r="B37" s="238" t="s">
        <v>102</v>
      </c>
      <c r="C37" s="239"/>
      <c r="D37" s="240"/>
    </row>
    <row r="38" s="186" customFormat="1" ht="47" customHeight="1" spans="1:4">
      <c r="A38" s="237" t="s">
        <v>103</v>
      </c>
      <c r="B38" s="238" t="s">
        <v>104</v>
      </c>
      <c r="C38" s="239"/>
      <c r="D38" s="240"/>
    </row>
    <row r="39" s="186" customFormat="1" ht="30" customHeight="1" spans="1:4">
      <c r="A39" s="237" t="s">
        <v>105</v>
      </c>
      <c r="B39" s="238" t="s">
        <v>106</v>
      </c>
      <c r="C39" s="239"/>
      <c r="D39" s="240"/>
    </row>
    <row r="40" s="186" customFormat="1" ht="31" customHeight="1" spans="1:4">
      <c r="A40" s="241" t="s">
        <v>107</v>
      </c>
      <c r="B40" s="242" t="s">
        <v>108</v>
      </c>
      <c r="C40" s="243"/>
      <c r="D40" s="244"/>
    </row>
  </sheetData>
  <mergeCells count="18">
    <mergeCell ref="A2:C2"/>
    <mergeCell ref="A3:B3"/>
    <mergeCell ref="C3:D3"/>
    <mergeCell ref="A19:B19"/>
    <mergeCell ref="C19:D19"/>
    <mergeCell ref="A33:D33"/>
    <mergeCell ref="C34:D34"/>
    <mergeCell ref="C35:D35"/>
    <mergeCell ref="C36:D36"/>
    <mergeCell ref="C37:D37"/>
    <mergeCell ref="C38:D38"/>
    <mergeCell ref="C39:D39"/>
    <mergeCell ref="C40:D40"/>
    <mergeCell ref="C4:D9"/>
    <mergeCell ref="C15:D18"/>
    <mergeCell ref="C20:D29"/>
    <mergeCell ref="C30:D31"/>
    <mergeCell ref="C10:D14"/>
  </mergeCells>
  <pageMargins left="0.75" right="0.75" top="1" bottom="1" header="0.5" footer="0.5"/>
  <pageSetup paperSize="9" scale="61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3"/>
  <sheetViews>
    <sheetView tabSelected="1" zoomScale="85" zoomScaleNormal="85" workbookViewId="0">
      <selection activeCell="G7" sqref="G7"/>
    </sheetView>
  </sheetViews>
  <sheetFormatPr defaultColWidth="9" defaultRowHeight="20.4"/>
  <cols>
    <col min="1" max="1" width="4.66346153846154" style="23" customWidth="1"/>
    <col min="2" max="2" width="18.8173076923077" style="23" customWidth="1"/>
    <col min="3" max="3" width="21.1826923076923" style="23" customWidth="1"/>
    <col min="4" max="4" width="22.7788461538462" style="23" customWidth="1"/>
    <col min="5" max="6" width="20.7788461538462" style="23" customWidth="1"/>
    <col min="7" max="7" width="16.8846153846154" style="23" customWidth="1"/>
    <col min="8" max="8" width="15.8846153846154" style="23" customWidth="1"/>
    <col min="9" max="9" width="3.22115384615385" style="23" hidden="1" customWidth="1"/>
    <col min="10" max="10" width="11.2211538461538" style="23" customWidth="1"/>
    <col min="11" max="11" width="9.77884615384615" style="23" customWidth="1"/>
    <col min="12" max="12" width="18.375" style="23" customWidth="1"/>
    <col min="13" max="13" width="11.2211538461538" style="23" customWidth="1"/>
    <col min="14" max="14" width="9.77884615384615" style="23" customWidth="1"/>
    <col min="15" max="15" width="19.5576923076923" style="23" customWidth="1"/>
    <col min="16" max="16" width="0.221153846153846" style="23" hidden="1" customWidth="1"/>
    <col min="17" max="17" width="16.1826923076923" style="23" customWidth="1"/>
    <col min="18" max="18" width="13.3269230769231" style="23" customWidth="1"/>
    <col min="19" max="19" width="21.4423076923077" style="23" customWidth="1"/>
    <col min="20" max="20" width="14.4423076923077" style="23" customWidth="1"/>
    <col min="21" max="21" width="18.1153846153846" style="23" customWidth="1"/>
    <col min="22" max="22" width="7.44230769230769" style="23" customWidth="1"/>
    <col min="23" max="23" width="15.2211538461538" style="24" customWidth="1"/>
    <col min="24" max="24" width="17.1153846153846" style="23"/>
    <col min="25" max="16384" width="9" style="23"/>
  </cols>
  <sheetData>
    <row r="1" ht="37.5" customHeight="1" spans="1:23">
      <c r="A1" s="25"/>
      <c r="B1" s="26" t="s">
        <v>109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8"/>
      <c r="R1" s="29"/>
      <c r="S1" s="24"/>
      <c r="T1" s="30"/>
      <c r="U1" s="30"/>
      <c r="V1" s="24"/>
      <c r="W1" s="30"/>
    </row>
    <row r="2" ht="36.75" customHeight="1" spans="1:23">
      <c r="A2" s="31" t="s">
        <v>110</v>
      </c>
      <c r="B2" s="31"/>
      <c r="C2" s="31" t="s">
        <v>54</v>
      </c>
      <c r="D2" s="32" t="s">
        <v>111</v>
      </c>
      <c r="E2" s="33"/>
      <c r="F2" s="34"/>
      <c r="G2" s="31" t="s">
        <v>112</v>
      </c>
      <c r="H2" s="32" t="s">
        <v>113</v>
      </c>
      <c r="I2" s="33"/>
      <c r="J2" s="33"/>
      <c r="K2" s="33"/>
      <c r="L2" s="33"/>
      <c r="M2" s="33"/>
      <c r="N2" s="33"/>
      <c r="O2" s="33"/>
      <c r="P2" s="34"/>
      <c r="Q2" s="35"/>
      <c r="R2" s="35"/>
      <c r="S2" s="36"/>
      <c r="T2" s="36"/>
      <c r="U2" s="37"/>
      <c r="V2" s="25"/>
      <c r="W2" s="23"/>
    </row>
    <row r="3" ht="21" customHeight="1" spans="1:23">
      <c r="A3" s="38" t="s">
        <v>114</v>
      </c>
      <c r="B3" s="39"/>
      <c r="C3" s="40" t="s">
        <v>115</v>
      </c>
      <c r="D3" s="41" t="s">
        <v>116</v>
      </c>
      <c r="E3" s="41"/>
      <c r="F3" s="41"/>
      <c r="G3" s="42">
        <f>ROUND(Q3/1.06,2)</f>
        <v>12924.53</v>
      </c>
      <c r="H3" s="31" t="s">
        <v>117</v>
      </c>
      <c r="I3" s="43" t="s">
        <v>118</v>
      </c>
      <c r="J3" s="43"/>
      <c r="K3" s="43"/>
      <c r="L3" s="43"/>
      <c r="M3" s="43"/>
      <c r="N3" s="43"/>
      <c r="O3" s="43"/>
      <c r="P3" s="43"/>
      <c r="Q3" s="44">
        <v>13700</v>
      </c>
      <c r="R3" s="25"/>
      <c r="S3" s="25"/>
      <c r="T3" s="25"/>
      <c r="U3" s="37"/>
      <c r="V3" s="25"/>
      <c r="W3" s="37"/>
    </row>
    <row r="4" ht="21" customHeight="1" spans="1:23">
      <c r="A4" s="45"/>
      <c r="B4" s="46"/>
      <c r="C4" s="47"/>
      <c r="D4" s="41" t="s">
        <v>119</v>
      </c>
      <c r="E4" s="41"/>
      <c r="F4" s="41"/>
      <c r="G4" s="42"/>
      <c r="H4" s="31" t="s">
        <v>117</v>
      </c>
      <c r="I4" s="43" t="s">
        <v>120</v>
      </c>
      <c r="J4" s="43"/>
      <c r="K4" s="43"/>
      <c r="L4" s="43"/>
      <c r="M4" s="43"/>
      <c r="N4" s="43"/>
      <c r="O4" s="43"/>
      <c r="P4" s="43"/>
      <c r="Q4" s="48"/>
      <c r="R4" s="25"/>
      <c r="S4" s="25"/>
      <c r="T4" s="25"/>
      <c r="U4" s="25"/>
      <c r="V4" s="25"/>
    </row>
    <row r="5" ht="21" customHeight="1" spans="1:23">
      <c r="A5" s="45"/>
      <c r="B5" s="46"/>
      <c r="C5" s="47"/>
      <c r="D5" s="41" t="s">
        <v>121</v>
      </c>
      <c r="E5" s="41"/>
      <c r="F5" s="41"/>
      <c r="G5" s="42"/>
      <c r="H5" s="31" t="s">
        <v>117</v>
      </c>
      <c r="I5" s="43" t="s">
        <v>122</v>
      </c>
      <c r="J5" s="43"/>
      <c r="K5" s="43"/>
      <c r="L5" s="43"/>
      <c r="M5" s="43"/>
      <c r="N5" s="43"/>
      <c r="O5" s="43"/>
      <c r="P5" s="43"/>
      <c r="Q5" s="48"/>
      <c r="R5" s="25"/>
      <c r="S5" s="25"/>
      <c r="T5" s="25"/>
      <c r="U5" s="25"/>
      <c r="V5" s="25"/>
    </row>
    <row r="6" ht="21" customHeight="1" spans="1:23">
      <c r="A6" s="45"/>
      <c r="B6" s="46"/>
      <c r="C6" s="47"/>
      <c r="D6" s="49" t="s">
        <v>123</v>
      </c>
      <c r="E6" s="50"/>
      <c r="F6" s="51"/>
      <c r="G6" s="42"/>
      <c r="H6" s="31" t="s">
        <v>117</v>
      </c>
      <c r="I6" s="43"/>
      <c r="J6" s="52" t="s">
        <v>124</v>
      </c>
      <c r="K6" s="53"/>
      <c r="L6" s="53"/>
      <c r="M6" s="53"/>
      <c r="N6" s="53"/>
      <c r="O6" s="54"/>
      <c r="P6" s="43"/>
      <c r="Q6" s="48"/>
      <c r="R6" s="25"/>
      <c r="S6" s="25"/>
      <c r="T6" s="25"/>
      <c r="U6" s="25"/>
      <c r="V6" s="25"/>
    </row>
    <row r="7" ht="21" customHeight="1" spans="1:23">
      <c r="A7" s="45"/>
      <c r="B7" s="46"/>
      <c r="C7" s="47"/>
      <c r="D7" s="49" t="s">
        <v>125</v>
      </c>
      <c r="E7" s="50"/>
      <c r="F7" s="51"/>
      <c r="G7" s="42"/>
      <c r="H7" s="31" t="s">
        <v>117</v>
      </c>
      <c r="I7" s="43"/>
      <c r="J7" s="52" t="s">
        <v>124</v>
      </c>
      <c r="K7" s="53"/>
      <c r="L7" s="53"/>
      <c r="M7" s="53"/>
      <c r="N7" s="53"/>
      <c r="O7" s="54"/>
      <c r="P7" s="43"/>
      <c r="Q7" s="48"/>
      <c r="R7" s="25"/>
      <c r="S7" s="25"/>
      <c r="T7" s="25"/>
      <c r="U7" s="25"/>
      <c r="V7" s="25"/>
    </row>
    <row r="8" ht="21" customHeight="1" spans="1:23">
      <c r="A8" s="45"/>
      <c r="B8" s="46"/>
      <c r="C8" s="55"/>
      <c r="D8" s="41" t="s">
        <v>126</v>
      </c>
      <c r="E8" s="41"/>
      <c r="F8" s="41"/>
      <c r="G8" s="42"/>
      <c r="H8" s="31" t="s">
        <v>117</v>
      </c>
      <c r="I8" s="43" t="s">
        <v>124</v>
      </c>
      <c r="J8" s="43"/>
      <c r="K8" s="43"/>
      <c r="L8" s="43"/>
      <c r="M8" s="43"/>
      <c r="N8" s="43"/>
      <c r="O8" s="43"/>
      <c r="P8" s="43"/>
      <c r="Q8" s="48"/>
      <c r="R8" s="25"/>
      <c r="S8" s="25"/>
      <c r="T8" s="25"/>
      <c r="U8" s="25"/>
      <c r="V8" s="25"/>
    </row>
    <row r="9" ht="21" customHeight="1" spans="1:23">
      <c r="A9" s="45"/>
      <c r="B9" s="46"/>
      <c r="C9" s="40" t="s">
        <v>75</v>
      </c>
      <c r="D9" s="50" t="s">
        <v>127</v>
      </c>
      <c r="E9" s="50"/>
      <c r="F9" s="51"/>
      <c r="G9" s="42">
        <f>ROUND(Q9/1.09,2)</f>
        <v>594.5</v>
      </c>
      <c r="H9" s="31" t="s">
        <v>117</v>
      </c>
      <c r="I9" s="43" t="s">
        <v>128</v>
      </c>
      <c r="J9" s="43"/>
      <c r="K9" s="43"/>
      <c r="L9" s="43"/>
      <c r="M9" s="43"/>
      <c r="N9" s="43"/>
      <c r="O9" s="43"/>
      <c r="P9" s="43"/>
      <c r="Q9" s="44">
        <v>648</v>
      </c>
      <c r="R9" s="25"/>
      <c r="S9" s="24"/>
      <c r="T9" s="30"/>
      <c r="U9" s="30"/>
      <c r="V9" s="24"/>
      <c r="W9" s="30"/>
    </row>
    <row r="10" ht="21" customHeight="1" spans="1:23">
      <c r="A10" s="45"/>
      <c r="B10" s="46"/>
      <c r="C10" s="47"/>
      <c r="D10" s="50" t="s">
        <v>129</v>
      </c>
      <c r="E10" s="50"/>
      <c r="F10" s="51"/>
      <c r="G10" s="42">
        <f>Q10/1.06</f>
        <v>0</v>
      </c>
      <c r="H10" s="31" t="s">
        <v>117</v>
      </c>
      <c r="I10" s="43" t="s">
        <v>130</v>
      </c>
      <c r="J10" s="43"/>
      <c r="K10" s="43"/>
      <c r="L10" s="43"/>
      <c r="M10" s="43"/>
      <c r="N10" s="43"/>
      <c r="O10" s="43"/>
      <c r="P10" s="43"/>
      <c r="Q10" s="48"/>
      <c r="R10" s="35"/>
      <c r="S10" s="30"/>
      <c r="T10" s="30"/>
      <c r="U10" s="56"/>
      <c r="V10" s="24"/>
    </row>
    <row r="11" ht="21" customHeight="1" spans="1:23">
      <c r="A11" s="45"/>
      <c r="B11" s="57"/>
      <c r="C11" s="31" t="s">
        <v>76</v>
      </c>
      <c r="D11" s="50" t="s">
        <v>131</v>
      </c>
      <c r="E11" s="50"/>
      <c r="F11" s="51"/>
      <c r="G11" s="42"/>
      <c r="H11" s="31" t="s">
        <v>117</v>
      </c>
      <c r="I11" s="43" t="s">
        <v>130</v>
      </c>
      <c r="J11" s="43"/>
      <c r="K11" s="43"/>
      <c r="L11" s="43"/>
      <c r="M11" s="43"/>
      <c r="N11" s="43"/>
      <c r="O11" s="43"/>
      <c r="P11" s="43"/>
      <c r="Q11" s="48"/>
      <c r="R11" s="35"/>
      <c r="S11" s="36"/>
      <c r="T11" s="36"/>
      <c r="U11" s="37"/>
      <c r="V11" s="25"/>
      <c r="W11" s="23"/>
    </row>
    <row r="12" ht="21" customHeight="1" spans="1:23">
      <c r="A12" s="58"/>
      <c r="B12" s="59"/>
      <c r="C12" s="55" t="s">
        <v>132</v>
      </c>
      <c r="D12" s="50" t="s">
        <v>133</v>
      </c>
      <c r="E12" s="50"/>
      <c r="F12" s="51"/>
      <c r="G12" s="60">
        <f>SUM(G3:G11)</f>
        <v>13519.03</v>
      </c>
      <c r="H12" s="31"/>
      <c r="I12" s="43"/>
      <c r="J12" s="32"/>
      <c r="K12" s="33"/>
      <c r="L12" s="33"/>
      <c r="M12" s="33"/>
      <c r="N12" s="33"/>
      <c r="O12" s="34"/>
      <c r="P12" s="43"/>
      <c r="Q12" s="44">
        <f>SUM(Q3:Q11)</f>
        <v>14348</v>
      </c>
      <c r="R12" s="35"/>
      <c r="S12" s="36"/>
      <c r="T12" s="36"/>
      <c r="U12" s="37"/>
      <c r="V12" s="25"/>
      <c r="W12" s="23"/>
    </row>
    <row r="13" ht="21" customHeight="1" spans="1:23">
      <c r="A13" s="38" t="s">
        <v>134</v>
      </c>
      <c r="B13" s="39"/>
      <c r="C13" s="61" t="s">
        <v>135</v>
      </c>
      <c r="D13" s="62" t="s">
        <v>136</v>
      </c>
      <c r="E13" s="63" t="s">
        <v>137</v>
      </c>
      <c r="F13" s="63"/>
      <c r="G13" s="42"/>
      <c r="H13" s="31" t="s">
        <v>117</v>
      </c>
      <c r="I13" s="43" t="s">
        <v>124</v>
      </c>
      <c r="J13" s="43"/>
      <c r="K13" s="43"/>
      <c r="L13" s="43"/>
      <c r="M13" s="43"/>
      <c r="N13" s="43"/>
      <c r="O13" s="43"/>
      <c r="P13" s="43"/>
      <c r="Q13" s="48"/>
      <c r="R13" s="35"/>
      <c r="S13" s="36"/>
      <c r="T13" s="36"/>
      <c r="U13" s="37"/>
      <c r="V13" s="25"/>
    </row>
    <row r="14" ht="21" customHeight="1" spans="1:23">
      <c r="A14" s="45"/>
      <c r="B14" s="46"/>
      <c r="C14" s="61"/>
      <c r="D14" s="64"/>
      <c r="E14" s="63" t="s">
        <v>138</v>
      </c>
      <c r="F14" s="63"/>
      <c r="G14" s="65"/>
      <c r="H14" s="31" t="s">
        <v>117</v>
      </c>
      <c r="I14" s="43" t="s">
        <v>124</v>
      </c>
      <c r="J14" s="43"/>
      <c r="K14" s="43"/>
      <c r="L14" s="43"/>
      <c r="M14" s="43"/>
      <c r="N14" s="43"/>
      <c r="O14" s="43"/>
      <c r="P14" s="43"/>
      <c r="Q14" s="48"/>
      <c r="R14" s="35"/>
      <c r="S14" s="36"/>
      <c r="T14" s="36"/>
      <c r="U14" s="37"/>
      <c r="V14" s="25"/>
    </row>
    <row r="15" ht="21" customHeight="1" spans="1:23">
      <c r="A15" s="45"/>
      <c r="B15" s="46"/>
      <c r="C15" s="61"/>
      <c r="D15" s="64"/>
      <c r="E15" s="63" t="s">
        <v>139</v>
      </c>
      <c r="F15" s="63"/>
      <c r="G15" s="65"/>
      <c r="H15" s="31" t="s">
        <v>117</v>
      </c>
      <c r="I15" s="43" t="s">
        <v>124</v>
      </c>
      <c r="J15" s="43"/>
      <c r="K15" s="43"/>
      <c r="L15" s="43"/>
      <c r="M15" s="43"/>
      <c r="N15" s="43"/>
      <c r="O15" s="43"/>
      <c r="P15" s="43"/>
      <c r="Q15" s="48"/>
      <c r="R15" s="35"/>
      <c r="S15" s="36"/>
      <c r="T15" s="36"/>
      <c r="U15" s="37"/>
      <c r="V15" s="25"/>
    </row>
    <row r="16" ht="21" customHeight="1" spans="1:23">
      <c r="A16" s="45"/>
      <c r="B16" s="46"/>
      <c r="C16" s="61"/>
      <c r="D16" s="64"/>
      <c r="E16" s="66" t="s">
        <v>140</v>
      </c>
      <c r="F16" s="67"/>
      <c r="G16" s="65">
        <v>9190.16</v>
      </c>
      <c r="H16" s="31" t="s">
        <v>117</v>
      </c>
      <c r="I16" s="43"/>
      <c r="J16" s="52" t="s">
        <v>124</v>
      </c>
      <c r="K16" s="53"/>
      <c r="L16" s="53"/>
      <c r="M16" s="53"/>
      <c r="N16" s="53"/>
      <c r="O16" s="54"/>
      <c r="P16" s="43"/>
      <c r="Q16" s="48">
        <f>T30</f>
        <v>13473.28</v>
      </c>
      <c r="R16" s="35"/>
      <c r="S16" s="36"/>
      <c r="T16" s="36"/>
      <c r="U16" s="37"/>
      <c r="V16" s="25"/>
    </row>
    <row r="17" ht="21" customHeight="1" spans="1:24">
      <c r="A17" s="45"/>
      <c r="B17" s="46"/>
      <c r="C17" s="61"/>
      <c r="D17" s="68"/>
      <c r="E17" s="66" t="s">
        <v>141</v>
      </c>
      <c r="F17" s="67"/>
      <c r="G17" s="42"/>
      <c r="H17" s="31" t="s">
        <v>117</v>
      </c>
      <c r="I17" s="43"/>
      <c r="J17" s="52" t="s">
        <v>124</v>
      </c>
      <c r="K17" s="53"/>
      <c r="L17" s="53"/>
      <c r="M17" s="53"/>
      <c r="N17" s="53"/>
      <c r="O17" s="54"/>
      <c r="P17" s="43"/>
      <c r="Q17" s="44"/>
      <c r="R17" s="35"/>
      <c r="S17" s="36"/>
      <c r="T17" s="36"/>
      <c r="U17" s="37"/>
      <c r="V17" s="25"/>
      <c r="W17" s="37"/>
    </row>
    <row r="18" ht="21" customHeight="1" spans="1:24">
      <c r="A18" s="45"/>
      <c r="B18" s="46"/>
      <c r="C18" s="61"/>
      <c r="D18" s="69" t="s">
        <v>142</v>
      </c>
      <c r="E18" s="66" t="s">
        <v>143</v>
      </c>
      <c r="F18" s="67"/>
      <c r="G18" s="42"/>
      <c r="H18" s="31" t="s">
        <v>117</v>
      </c>
      <c r="I18" s="43" t="s">
        <v>120</v>
      </c>
      <c r="J18" s="43"/>
      <c r="K18" s="43"/>
      <c r="L18" s="43"/>
      <c r="M18" s="43"/>
      <c r="N18" s="43"/>
      <c r="O18" s="43"/>
      <c r="P18" s="43"/>
      <c r="Q18" s="48"/>
      <c r="R18" s="35"/>
      <c r="S18" s="36"/>
      <c r="T18" s="36"/>
      <c r="U18" s="37"/>
      <c r="V18" s="25"/>
      <c r="W18" s="37"/>
    </row>
    <row r="19" ht="21" customHeight="1" spans="1:24">
      <c r="A19" s="45"/>
      <c r="B19" s="46"/>
      <c r="C19" s="61"/>
      <c r="D19" s="69"/>
      <c r="E19" s="66" t="s">
        <v>144</v>
      </c>
      <c r="F19" s="67"/>
      <c r="G19" s="42"/>
      <c r="H19" s="31" t="s">
        <v>117</v>
      </c>
      <c r="I19" s="52" t="s">
        <v>124</v>
      </c>
      <c r="J19" s="53"/>
      <c r="K19" s="53"/>
      <c r="L19" s="53"/>
      <c r="M19" s="53"/>
      <c r="N19" s="53"/>
      <c r="O19" s="53"/>
      <c r="P19" s="54"/>
      <c r="Q19" s="48"/>
      <c r="R19" s="35"/>
      <c r="S19" s="36"/>
      <c r="T19" s="36"/>
      <c r="U19" s="37"/>
      <c r="V19" s="25"/>
    </row>
    <row r="20" ht="21" customHeight="1" spans="1:24">
      <c r="A20" s="45"/>
      <c r="B20" s="46"/>
      <c r="C20" s="61"/>
      <c r="D20" s="70" t="s">
        <v>141</v>
      </c>
      <c r="E20" s="66" t="s">
        <v>145</v>
      </c>
      <c r="F20" s="67"/>
      <c r="G20" s="42"/>
      <c r="H20" s="31" t="s">
        <v>117</v>
      </c>
      <c r="I20" s="71">
        <v>0.06</v>
      </c>
      <c r="J20" s="53"/>
      <c r="K20" s="53"/>
      <c r="L20" s="53"/>
      <c r="M20" s="53"/>
      <c r="N20" s="53"/>
      <c r="O20" s="53"/>
      <c r="P20" s="54"/>
      <c r="Q20" s="48"/>
      <c r="R20" s="35"/>
      <c r="S20" s="36"/>
      <c r="T20" s="36"/>
      <c r="U20" s="37"/>
      <c r="V20" s="25"/>
    </row>
    <row r="21" ht="21" customHeight="1" spans="1:24">
      <c r="A21" s="45"/>
      <c r="B21" s="46"/>
      <c r="C21" s="61"/>
      <c r="D21" s="61"/>
      <c r="E21" s="66" t="s">
        <v>146</v>
      </c>
      <c r="F21" s="67"/>
      <c r="G21" s="42"/>
      <c r="H21" s="31" t="s">
        <v>117</v>
      </c>
      <c r="I21" s="52" t="s">
        <v>124</v>
      </c>
      <c r="J21" s="53"/>
      <c r="K21" s="53"/>
      <c r="L21" s="53"/>
      <c r="M21" s="53"/>
      <c r="N21" s="53"/>
      <c r="O21" s="53"/>
      <c r="P21" s="54"/>
      <c r="Q21" s="48"/>
      <c r="R21" s="35"/>
      <c r="S21" s="36">
        <f>G12</f>
        <v>13519.03</v>
      </c>
      <c r="T21" s="36"/>
      <c r="U21" s="37"/>
      <c r="V21" s="25"/>
    </row>
    <row r="22" ht="21" customHeight="1" spans="1:24">
      <c r="A22" s="45"/>
      <c r="B22" s="46"/>
      <c r="C22" s="61"/>
      <c r="D22" s="61"/>
      <c r="E22" s="66" t="s">
        <v>147</v>
      </c>
      <c r="F22" s="67"/>
      <c r="G22" s="42"/>
      <c r="H22" s="31" t="s">
        <v>117</v>
      </c>
      <c r="I22" s="52" t="s">
        <v>124</v>
      </c>
      <c r="J22" s="53"/>
      <c r="K22" s="53"/>
      <c r="L22" s="53"/>
      <c r="M22" s="53"/>
      <c r="N22" s="53"/>
      <c r="O22" s="53"/>
      <c r="P22" s="54"/>
      <c r="Q22" s="48"/>
      <c r="R22" s="35"/>
      <c r="S22" s="36"/>
      <c r="T22" s="36"/>
      <c r="U22" s="37"/>
      <c r="V22" s="25"/>
    </row>
    <row r="23" ht="21" customHeight="1" spans="1:24">
      <c r="A23" s="45"/>
      <c r="B23" s="46"/>
      <c r="C23" s="70" t="s">
        <v>148</v>
      </c>
      <c r="D23" s="70" t="s">
        <v>149</v>
      </c>
      <c r="E23" s="66" t="s">
        <v>150</v>
      </c>
      <c r="F23" s="67"/>
      <c r="G23" s="42">
        <f>Q23/1.06</f>
        <v>0</v>
      </c>
      <c r="H23" s="31" t="s">
        <v>117</v>
      </c>
      <c r="I23" s="52" t="s">
        <v>151</v>
      </c>
      <c r="J23" s="53"/>
      <c r="K23" s="53"/>
      <c r="L23" s="53"/>
      <c r="M23" s="53"/>
      <c r="N23" s="53"/>
      <c r="O23" s="53"/>
      <c r="P23" s="54"/>
      <c r="Q23" s="44">
        <v>0</v>
      </c>
      <c r="R23" s="35"/>
      <c r="S23" s="25"/>
      <c r="T23" s="25"/>
      <c r="U23" s="37"/>
      <c r="V23" s="25"/>
      <c r="W23" s="37"/>
    </row>
    <row r="24" ht="21" customHeight="1" spans="1:24">
      <c r="A24" s="45"/>
      <c r="B24" s="46"/>
      <c r="C24" s="61"/>
      <c r="D24" s="61"/>
      <c r="E24" s="66" t="s">
        <v>152</v>
      </c>
      <c r="F24" s="67"/>
      <c r="G24" s="42">
        <f>ROUND(Q24/1.09,2)</f>
        <v>272.48</v>
      </c>
      <c r="H24" s="31" t="s">
        <v>117</v>
      </c>
      <c r="I24" s="52" t="s">
        <v>153</v>
      </c>
      <c r="J24" s="53"/>
      <c r="K24" s="53"/>
      <c r="L24" s="53"/>
      <c r="M24" s="53"/>
      <c r="N24" s="53"/>
      <c r="O24" s="53"/>
      <c r="P24" s="54"/>
      <c r="Q24" s="44">
        <v>297</v>
      </c>
      <c r="R24" s="35"/>
      <c r="S24" s="25"/>
      <c r="T24" s="25"/>
      <c r="U24" s="25"/>
      <c r="V24" s="25"/>
    </row>
    <row r="25" ht="40" customHeight="1" spans="1:24">
      <c r="A25" s="45"/>
      <c r="B25" s="46"/>
      <c r="C25" s="61"/>
      <c r="D25" s="61"/>
      <c r="E25" s="72" t="s">
        <v>154</v>
      </c>
      <c r="F25" s="73"/>
      <c r="G25" s="42">
        <f>Q25/1.06</f>
        <v>0</v>
      </c>
      <c r="H25" s="31" t="s">
        <v>117</v>
      </c>
      <c r="I25" s="52"/>
      <c r="J25" s="53" t="s">
        <v>130</v>
      </c>
      <c r="K25" s="53"/>
      <c r="L25" s="53"/>
      <c r="M25" s="53"/>
      <c r="N25" s="53"/>
      <c r="O25" s="53"/>
      <c r="P25" s="54"/>
      <c r="Q25" s="48">
        <f>Q10</f>
        <v>0</v>
      </c>
      <c r="R25" s="35"/>
      <c r="S25" s="35"/>
      <c r="T25" s="35"/>
      <c r="U25" s="74"/>
      <c r="V25" s="25"/>
      <c r="W25" s="23"/>
    </row>
    <row r="26" ht="21" customHeight="1" spans="1:24">
      <c r="A26" s="45"/>
      <c r="B26" s="46"/>
      <c r="C26" s="61"/>
      <c r="D26" s="75" t="s">
        <v>155</v>
      </c>
      <c r="E26" s="76" t="s">
        <v>156</v>
      </c>
      <c r="F26" s="77"/>
      <c r="G26" s="78"/>
      <c r="H26" s="31" t="s">
        <v>117</v>
      </c>
      <c r="I26" s="52" t="s">
        <v>130</v>
      </c>
      <c r="J26" s="53"/>
      <c r="K26" s="53"/>
      <c r="L26" s="53"/>
      <c r="M26" s="53"/>
      <c r="N26" s="53"/>
      <c r="O26" s="53"/>
      <c r="P26" s="54"/>
      <c r="Q26" s="48"/>
      <c r="R26" s="35"/>
      <c r="S26" s="79" t="s">
        <v>157</v>
      </c>
      <c r="T26" s="80">
        <v>13313.44</v>
      </c>
      <c r="U26" s="74"/>
      <c r="V26" s="25"/>
      <c r="W26" s="79" t="s">
        <v>158</v>
      </c>
      <c r="X26" s="23">
        <f>Q12/T26-1</f>
        <v>0.0777079402468484</v>
      </c>
    </row>
    <row r="27" ht="21" customHeight="1" spans="1:24">
      <c r="A27" s="45"/>
      <c r="B27" s="46"/>
      <c r="C27" s="81"/>
      <c r="D27" s="82"/>
      <c r="E27" s="83" t="s">
        <v>159</v>
      </c>
      <c r="F27" s="84"/>
      <c r="G27" s="78"/>
      <c r="H27" s="31" t="s">
        <v>117</v>
      </c>
      <c r="I27" s="52" t="s">
        <v>130</v>
      </c>
      <c r="J27" s="53"/>
      <c r="K27" s="53"/>
      <c r="L27" s="53"/>
      <c r="M27" s="53"/>
      <c r="N27" s="53"/>
      <c r="O27" s="53"/>
      <c r="P27" s="54"/>
      <c r="Q27" s="48"/>
      <c r="R27" s="35"/>
      <c r="S27" s="79" t="s">
        <v>160</v>
      </c>
      <c r="T27" s="79">
        <f>IF(T26&lt;=12100,100,IF(AND(T26&gt;12100,T26&lt;=48500),ROUND(T26*0.00825,2),IF(AND(T26&gt;48500,T26&lt;=100000),400,IF(AND(T26&gt;100000,T26&lt;=500000),ROUND(T26*0.009408,2)))))</f>
        <v>109.84</v>
      </c>
      <c r="U27" s="74"/>
      <c r="V27" s="25"/>
      <c r="W27" s="23"/>
    </row>
    <row r="28" ht="21" customHeight="1" spans="1:24">
      <c r="A28" s="45"/>
      <c r="B28" s="46"/>
      <c r="C28" s="61" t="s">
        <v>70</v>
      </c>
      <c r="D28" s="69" t="s">
        <v>161</v>
      </c>
      <c r="E28" s="85" t="s">
        <v>162</v>
      </c>
      <c r="F28" s="86"/>
      <c r="G28" s="78"/>
      <c r="H28" s="31" t="s">
        <v>117</v>
      </c>
      <c r="I28" s="52" t="s">
        <v>130</v>
      </c>
      <c r="J28" s="53"/>
      <c r="K28" s="53"/>
      <c r="L28" s="53"/>
      <c r="M28" s="53"/>
      <c r="N28" s="53"/>
      <c r="O28" s="53"/>
      <c r="P28" s="54"/>
      <c r="Q28" s="48"/>
      <c r="R28" s="35"/>
      <c r="S28" s="87" t="s">
        <v>163</v>
      </c>
      <c r="T28" s="87">
        <f>T26+T27</f>
        <v>13423.28</v>
      </c>
      <c r="U28" s="74"/>
      <c r="V28" s="25"/>
      <c r="W28" s="23"/>
    </row>
    <row r="29" ht="23.4" customHeight="1" spans="1:24">
      <c r="A29" s="45"/>
      <c r="B29" s="46"/>
      <c r="C29" s="88" t="s">
        <v>71</v>
      </c>
      <c r="D29" s="89" t="s">
        <v>164</v>
      </c>
      <c r="E29" s="90"/>
      <c r="F29" s="91"/>
      <c r="G29" s="42"/>
      <c r="H29" s="31" t="s">
        <v>117</v>
      </c>
      <c r="I29" s="43"/>
      <c r="J29" s="43"/>
      <c r="K29" s="43"/>
      <c r="L29" s="43"/>
      <c r="M29" s="43"/>
      <c r="N29" s="43"/>
      <c r="O29" s="43"/>
      <c r="P29" s="43"/>
      <c r="Q29" s="48"/>
      <c r="R29" s="35"/>
      <c r="S29" s="87" t="s">
        <v>165</v>
      </c>
      <c r="T29" s="87">
        <v>50</v>
      </c>
      <c r="U29" s="74"/>
      <c r="V29" s="25"/>
      <c r="W29" s="23"/>
    </row>
    <row r="30" ht="21" customHeight="1" spans="1:24">
      <c r="A30" s="45"/>
      <c r="B30" s="46"/>
      <c r="C30" s="61"/>
      <c r="D30" s="92" t="s">
        <v>166</v>
      </c>
      <c r="E30" s="92"/>
      <c r="F30" s="92"/>
      <c r="G30" s="42"/>
      <c r="H30" s="31" t="s">
        <v>117</v>
      </c>
      <c r="I30" s="43"/>
      <c r="J30" s="43"/>
      <c r="K30" s="43"/>
      <c r="L30" s="43"/>
      <c r="M30" s="43"/>
      <c r="N30" s="43"/>
      <c r="O30" s="43"/>
      <c r="P30" s="43"/>
      <c r="Q30" s="48"/>
      <c r="R30" s="35"/>
      <c r="S30" s="87" t="s">
        <v>167</v>
      </c>
      <c r="T30" s="87">
        <f>SUM(T28:T29)</f>
        <v>13473.28</v>
      </c>
      <c r="U30" s="74"/>
      <c r="V30" s="25"/>
      <c r="W30" s="23"/>
    </row>
    <row r="31" ht="21" customHeight="1" spans="1:24">
      <c r="A31" s="45"/>
      <c r="B31" s="46"/>
      <c r="C31" s="61"/>
      <c r="D31" s="66" t="s">
        <v>168</v>
      </c>
      <c r="E31" s="93"/>
      <c r="F31" s="93"/>
      <c r="G31" s="42"/>
      <c r="H31" s="31" t="s">
        <v>117</v>
      </c>
      <c r="I31" s="94"/>
      <c r="J31" s="32"/>
      <c r="K31" s="33"/>
      <c r="L31" s="33"/>
      <c r="M31" s="33"/>
      <c r="N31" s="33"/>
      <c r="O31" s="33"/>
      <c r="P31" s="95"/>
      <c r="Q31" s="48"/>
      <c r="R31" s="35"/>
      <c r="S31" s="35"/>
      <c r="T31" s="35"/>
      <c r="U31" s="74"/>
      <c r="V31" s="25"/>
      <c r="W31" s="23"/>
    </row>
    <row r="32" ht="21" customHeight="1" spans="1:24">
      <c r="A32" s="58"/>
      <c r="B32" s="59"/>
      <c r="C32" s="69" t="s">
        <v>132</v>
      </c>
      <c r="D32" s="96" t="s">
        <v>169</v>
      </c>
      <c r="E32" s="96"/>
      <c r="F32" s="96"/>
      <c r="G32" s="97">
        <f>SUM(G13:G31)</f>
        <v>9462.64</v>
      </c>
      <c r="H32" s="98"/>
      <c r="I32" s="94"/>
      <c r="J32" s="32"/>
      <c r="K32" s="33"/>
      <c r="L32" s="33"/>
      <c r="M32" s="33"/>
      <c r="N32" s="33"/>
      <c r="O32" s="33"/>
      <c r="P32" s="95"/>
      <c r="Q32" s="44">
        <f>SUM(Q13:Q31)</f>
        <v>13770.28</v>
      </c>
      <c r="R32" s="35"/>
      <c r="S32" s="35"/>
      <c r="T32" s="35"/>
      <c r="U32" s="74"/>
      <c r="V32" s="25"/>
      <c r="W32" s="23"/>
    </row>
    <row r="33" ht="21" customHeight="1" spans="1:23">
      <c r="A33" s="31" t="s">
        <v>170</v>
      </c>
      <c r="B33" s="99"/>
      <c r="C33" s="100" t="s">
        <v>80</v>
      </c>
      <c r="D33" s="101">
        <v>0.055</v>
      </c>
      <c r="E33" s="102"/>
      <c r="F33" s="102"/>
      <c r="G33" s="102"/>
      <c r="H33" s="103"/>
      <c r="I33" s="104"/>
      <c r="J33" s="105" t="s">
        <v>171</v>
      </c>
      <c r="K33" s="106"/>
      <c r="L33" s="107" t="s">
        <v>172</v>
      </c>
      <c r="M33" s="105" t="s">
        <v>173</v>
      </c>
      <c r="N33" s="106"/>
      <c r="O33" s="108" t="s">
        <v>174</v>
      </c>
      <c r="P33" s="109"/>
      <c r="Q33" s="110"/>
      <c r="R33" s="74"/>
      <c r="S33" s="74"/>
      <c r="T33" s="74"/>
      <c r="U33" s="74"/>
      <c r="V33" s="74"/>
      <c r="W33" s="23"/>
    </row>
    <row r="34" ht="21" customHeight="1" spans="1:23">
      <c r="A34" s="108" t="s">
        <v>175</v>
      </c>
      <c r="B34" s="109"/>
      <c r="C34" s="31" t="s">
        <v>176</v>
      </c>
      <c r="D34" s="31" t="s">
        <v>177</v>
      </c>
      <c r="E34" s="111">
        <f>G12</f>
        <v>13519.03</v>
      </c>
      <c r="F34" s="31" t="s">
        <v>178</v>
      </c>
      <c r="G34" s="112">
        <f>G32</f>
        <v>9462.64</v>
      </c>
      <c r="H34" s="113"/>
      <c r="I34" s="114"/>
      <c r="J34" s="115">
        <f t="shared" ref="J34:J43" si="0">E34-G34</f>
        <v>4056.39</v>
      </c>
      <c r="K34" s="116"/>
      <c r="L34" s="117">
        <f>J34</f>
        <v>4056.39</v>
      </c>
      <c r="M34" s="115">
        <f>J34/(1+D33)^1</f>
        <v>3844.91943127962</v>
      </c>
      <c r="N34" s="116"/>
      <c r="O34" s="118">
        <f>J34/(1+D33)^1</f>
        <v>3844.91943127962</v>
      </c>
      <c r="P34" s="119"/>
      <c r="Q34" s="110"/>
      <c r="R34" s="74"/>
      <c r="S34" s="74" t="e">
        <f>IF(O34&lt;=0,100,O34/(#REF!-O34))</f>
        <v>#REF!</v>
      </c>
      <c r="T34" s="74" t="str">
        <f>IF(O34&gt;=0,"T","F")</f>
        <v>T</v>
      </c>
      <c r="U34" s="74" t="e">
        <f>IF(L34&lt;=0,100,L34/(#REF!-L34))</f>
        <v>#REF!</v>
      </c>
      <c r="V34" s="74" t="str">
        <f>IF(L34&gt;=0,"T","F")</f>
        <v>T</v>
      </c>
    </row>
    <row r="35" ht="21" customHeight="1" spans="1:23">
      <c r="A35" s="120"/>
      <c r="B35" s="121"/>
      <c r="C35" s="31" t="s">
        <v>179</v>
      </c>
      <c r="D35" s="31" t="s">
        <v>177</v>
      </c>
      <c r="E35" s="42"/>
      <c r="F35" s="31" t="s">
        <v>178</v>
      </c>
      <c r="G35" s="112"/>
      <c r="H35" s="113"/>
      <c r="I35" s="114"/>
      <c r="J35" s="115">
        <f t="shared" si="0"/>
        <v>0</v>
      </c>
      <c r="K35" s="116"/>
      <c r="L35" s="117">
        <f t="shared" ref="L35:L43" si="1">L34+J35</f>
        <v>4056.39</v>
      </c>
      <c r="M35" s="115">
        <f>J35/(1+D33)^2</f>
        <v>0</v>
      </c>
      <c r="N35" s="116"/>
      <c r="O35" s="122">
        <f>O34+J35/(1+D33)^2</f>
        <v>3844.91943127962</v>
      </c>
      <c r="P35" s="123"/>
      <c r="Q35" s="74"/>
      <c r="R35" s="74"/>
      <c r="S35" s="74" t="e">
        <f>IF(O35&lt;=0,100,O35/(O34-O35))</f>
        <v>#DIV/0!</v>
      </c>
      <c r="T35" s="25" t="str">
        <f>IF(O35&gt;=0,"T","F")</f>
        <v>T</v>
      </c>
      <c r="U35" s="74" t="e">
        <f t="shared" ref="U34:U43" si="2">IF(L35&lt;=0,100,L35/(L34-L35))</f>
        <v>#DIV/0!</v>
      </c>
      <c r="V35" s="25" t="str">
        <f t="shared" ref="V35:V42" si="3">IF(L34&lt;0,IF(L35&gt;=0,"T","F"),"F")</f>
        <v>F</v>
      </c>
      <c r="W35" s="23"/>
    </row>
    <row r="36" ht="21" customHeight="1" spans="1:23">
      <c r="A36" s="120"/>
      <c r="B36" s="121"/>
      <c r="C36" s="31" t="s">
        <v>180</v>
      </c>
      <c r="D36" s="31" t="s">
        <v>177</v>
      </c>
      <c r="E36" s="42"/>
      <c r="F36" s="31" t="s">
        <v>178</v>
      </c>
      <c r="G36" s="112"/>
      <c r="H36" s="113"/>
      <c r="I36" s="114"/>
      <c r="J36" s="115">
        <f t="shared" si="0"/>
        <v>0</v>
      </c>
      <c r="K36" s="116"/>
      <c r="L36" s="117">
        <f t="shared" si="1"/>
        <v>4056.39</v>
      </c>
      <c r="M36" s="115">
        <f>J36/(1+D33)^3</f>
        <v>0</v>
      </c>
      <c r="N36" s="116"/>
      <c r="O36" s="122">
        <f>O35+J36/(1+D33)^3</f>
        <v>3844.91943127962</v>
      </c>
      <c r="P36" s="123"/>
      <c r="Q36" s="74"/>
      <c r="R36" s="74"/>
      <c r="S36" s="74" t="e">
        <f t="shared" ref="S36:S43" si="4">IF(O36&lt;=0,100,O36/(O35-O36))</f>
        <v>#DIV/0!</v>
      </c>
      <c r="T36" s="25" t="str">
        <f t="shared" ref="T36:T43" si="5">IF(O35&lt;0,IF(O36&gt;=0,"T","F"),"F")</f>
        <v>F</v>
      </c>
      <c r="U36" s="74" t="e">
        <f t="shared" si="2"/>
        <v>#DIV/0!</v>
      </c>
      <c r="V36" s="25" t="str">
        <f t="shared" si="3"/>
        <v>F</v>
      </c>
      <c r="W36" s="23"/>
    </row>
    <row r="37" ht="21" customHeight="1" spans="1:23">
      <c r="A37" s="120"/>
      <c r="B37" s="121"/>
      <c r="C37" s="31" t="s">
        <v>181</v>
      </c>
      <c r="D37" s="31" t="s">
        <v>177</v>
      </c>
      <c r="E37" s="124"/>
      <c r="F37" s="31" t="s">
        <v>178</v>
      </c>
      <c r="G37" s="125"/>
      <c r="H37" s="126"/>
      <c r="I37" s="127"/>
      <c r="J37" s="115">
        <f t="shared" si="0"/>
        <v>0</v>
      </c>
      <c r="K37" s="116"/>
      <c r="L37" s="117">
        <f t="shared" si="1"/>
        <v>4056.39</v>
      </c>
      <c r="M37" s="115">
        <f>J37/(1+D33)^4</f>
        <v>0</v>
      </c>
      <c r="N37" s="116"/>
      <c r="O37" s="122">
        <f>O36+J37/(1+D33)^4</f>
        <v>3844.91943127962</v>
      </c>
      <c r="P37" s="123"/>
      <c r="Q37" s="74"/>
      <c r="R37" s="74"/>
      <c r="S37" s="74" t="e">
        <f t="shared" si="4"/>
        <v>#DIV/0!</v>
      </c>
      <c r="T37" s="25" t="str">
        <f t="shared" si="5"/>
        <v>F</v>
      </c>
      <c r="U37" s="74" t="e">
        <f t="shared" si="2"/>
        <v>#DIV/0!</v>
      </c>
      <c r="V37" s="25" t="str">
        <f t="shared" si="3"/>
        <v>F</v>
      </c>
      <c r="W37" s="23"/>
    </row>
    <row r="38" ht="21" customHeight="1" spans="1:23">
      <c r="A38" s="120"/>
      <c r="B38" s="121"/>
      <c r="C38" s="31" t="s">
        <v>182</v>
      </c>
      <c r="D38" s="31" t="s">
        <v>177</v>
      </c>
      <c r="E38" s="124"/>
      <c r="F38" s="31" t="s">
        <v>178</v>
      </c>
      <c r="G38" s="125"/>
      <c r="H38" s="126"/>
      <c r="I38" s="127"/>
      <c r="J38" s="115">
        <f t="shared" si="0"/>
        <v>0</v>
      </c>
      <c r="K38" s="116"/>
      <c r="L38" s="117">
        <f t="shared" si="1"/>
        <v>4056.39</v>
      </c>
      <c r="M38" s="115">
        <f>J38/(1+D33)^5</f>
        <v>0</v>
      </c>
      <c r="N38" s="116"/>
      <c r="O38" s="122">
        <f>O37+J38/(1+D33)^5</f>
        <v>3844.91943127962</v>
      </c>
      <c r="P38" s="123"/>
      <c r="Q38" s="74"/>
      <c r="R38" s="74"/>
      <c r="S38" s="74" t="e">
        <f t="shared" si="4"/>
        <v>#DIV/0!</v>
      </c>
      <c r="T38" s="25" t="str">
        <f t="shared" si="5"/>
        <v>F</v>
      </c>
      <c r="U38" s="74" t="e">
        <f t="shared" si="2"/>
        <v>#DIV/0!</v>
      </c>
      <c r="V38" s="25" t="str">
        <f t="shared" si="3"/>
        <v>F</v>
      </c>
      <c r="W38" s="23"/>
    </row>
    <row r="39" ht="21" customHeight="1" spans="1:23">
      <c r="A39" s="120"/>
      <c r="B39" s="121"/>
      <c r="C39" s="31" t="s">
        <v>183</v>
      </c>
      <c r="D39" s="31" t="s">
        <v>177</v>
      </c>
      <c r="E39" s="124"/>
      <c r="F39" s="31" t="s">
        <v>178</v>
      </c>
      <c r="G39" s="125"/>
      <c r="H39" s="126"/>
      <c r="I39" s="127"/>
      <c r="J39" s="115">
        <f t="shared" si="0"/>
        <v>0</v>
      </c>
      <c r="K39" s="116"/>
      <c r="L39" s="117">
        <f t="shared" si="1"/>
        <v>4056.39</v>
      </c>
      <c r="M39" s="115">
        <f>J39/(1+D33)^6</f>
        <v>0</v>
      </c>
      <c r="N39" s="116"/>
      <c r="O39" s="122">
        <f>O38+J39/(1+D33)^6</f>
        <v>3844.91943127962</v>
      </c>
      <c r="P39" s="123"/>
      <c r="Q39" s="74"/>
      <c r="R39" s="74"/>
      <c r="S39" s="74" t="e">
        <f t="shared" si="4"/>
        <v>#DIV/0!</v>
      </c>
      <c r="T39" s="25" t="str">
        <f t="shared" si="5"/>
        <v>F</v>
      </c>
      <c r="U39" s="74" t="e">
        <f t="shared" si="2"/>
        <v>#DIV/0!</v>
      </c>
      <c r="V39" s="25" t="str">
        <f t="shared" si="3"/>
        <v>F</v>
      </c>
      <c r="W39" s="23"/>
    </row>
    <row r="40" ht="21" customHeight="1" spans="1:23">
      <c r="A40" s="120"/>
      <c r="B40" s="121"/>
      <c r="C40" s="31" t="s">
        <v>184</v>
      </c>
      <c r="D40" s="31" t="s">
        <v>177</v>
      </c>
      <c r="E40" s="124"/>
      <c r="F40" s="31" t="s">
        <v>178</v>
      </c>
      <c r="G40" s="125"/>
      <c r="H40" s="126"/>
      <c r="I40" s="127"/>
      <c r="J40" s="115">
        <f t="shared" si="0"/>
        <v>0</v>
      </c>
      <c r="K40" s="116"/>
      <c r="L40" s="117">
        <f t="shared" si="1"/>
        <v>4056.39</v>
      </c>
      <c r="M40" s="115">
        <f>J40/(1+D33)^7</f>
        <v>0</v>
      </c>
      <c r="N40" s="116"/>
      <c r="O40" s="122">
        <f>O39+J40/(1+D33)^7</f>
        <v>3844.91943127962</v>
      </c>
      <c r="P40" s="123"/>
      <c r="Q40" s="74"/>
      <c r="R40" s="74"/>
      <c r="S40" s="74" t="e">
        <f t="shared" si="4"/>
        <v>#DIV/0!</v>
      </c>
      <c r="T40" s="25" t="str">
        <f t="shared" si="5"/>
        <v>F</v>
      </c>
      <c r="U40" s="74" t="e">
        <f t="shared" si="2"/>
        <v>#DIV/0!</v>
      </c>
      <c r="V40" s="25" t="str">
        <f t="shared" si="3"/>
        <v>F</v>
      </c>
      <c r="W40" s="23"/>
    </row>
    <row r="41" ht="21" customHeight="1" spans="1:23">
      <c r="A41" s="120"/>
      <c r="B41" s="121"/>
      <c r="C41" s="31" t="s">
        <v>185</v>
      </c>
      <c r="D41" s="31" t="s">
        <v>177</v>
      </c>
      <c r="E41" s="124"/>
      <c r="F41" s="31" t="s">
        <v>178</v>
      </c>
      <c r="G41" s="125"/>
      <c r="H41" s="126"/>
      <c r="I41" s="127"/>
      <c r="J41" s="115">
        <f t="shared" si="0"/>
        <v>0</v>
      </c>
      <c r="K41" s="116"/>
      <c r="L41" s="117">
        <f t="shared" si="1"/>
        <v>4056.39</v>
      </c>
      <c r="M41" s="115">
        <f>J41/(1+D33)^8</f>
        <v>0</v>
      </c>
      <c r="N41" s="116"/>
      <c r="O41" s="122">
        <f>O40+J41/(1+D33)^8</f>
        <v>3844.91943127962</v>
      </c>
      <c r="P41" s="123"/>
      <c r="Q41" s="74"/>
      <c r="R41" s="74"/>
      <c r="S41" s="74" t="e">
        <f t="shared" si="4"/>
        <v>#DIV/0!</v>
      </c>
      <c r="T41" s="25" t="str">
        <f t="shared" si="5"/>
        <v>F</v>
      </c>
      <c r="U41" s="74" t="e">
        <f t="shared" si="2"/>
        <v>#DIV/0!</v>
      </c>
      <c r="V41" s="25" t="str">
        <f t="shared" si="3"/>
        <v>F</v>
      </c>
      <c r="W41" s="23"/>
    </row>
    <row r="42" ht="21" customHeight="1" spans="1:23">
      <c r="A42" s="120"/>
      <c r="B42" s="121"/>
      <c r="C42" s="31" t="s">
        <v>186</v>
      </c>
      <c r="D42" s="31" t="s">
        <v>177</v>
      </c>
      <c r="E42" s="124"/>
      <c r="F42" s="31" t="s">
        <v>178</v>
      </c>
      <c r="G42" s="125"/>
      <c r="H42" s="126"/>
      <c r="I42" s="127"/>
      <c r="J42" s="115">
        <f t="shared" si="0"/>
        <v>0</v>
      </c>
      <c r="K42" s="116"/>
      <c r="L42" s="117">
        <f t="shared" si="1"/>
        <v>4056.39</v>
      </c>
      <c r="M42" s="115">
        <f>J42/(1+D33)^9</f>
        <v>0</v>
      </c>
      <c r="N42" s="116"/>
      <c r="O42" s="122">
        <f>O41+J42/(1+D33)^9</f>
        <v>3844.91943127962</v>
      </c>
      <c r="P42" s="123"/>
      <c r="Q42" s="74"/>
      <c r="R42" s="74"/>
      <c r="S42" s="74" t="e">
        <f t="shared" si="4"/>
        <v>#DIV/0!</v>
      </c>
      <c r="T42" s="25" t="str">
        <f t="shared" si="5"/>
        <v>F</v>
      </c>
      <c r="U42" s="74" t="e">
        <f t="shared" si="2"/>
        <v>#DIV/0!</v>
      </c>
      <c r="V42" s="25" t="str">
        <f t="shared" si="3"/>
        <v>F</v>
      </c>
      <c r="W42" s="23"/>
    </row>
    <row r="43" ht="21" customHeight="1" spans="1:23">
      <c r="A43" s="120"/>
      <c r="B43" s="121"/>
      <c r="C43" s="31" t="s">
        <v>187</v>
      </c>
      <c r="D43" s="31" t="s">
        <v>177</v>
      </c>
      <c r="E43" s="124"/>
      <c r="F43" s="31" t="s">
        <v>178</v>
      </c>
      <c r="G43" s="125"/>
      <c r="H43" s="126"/>
      <c r="I43" s="127"/>
      <c r="J43" s="115">
        <f t="shared" si="0"/>
        <v>0</v>
      </c>
      <c r="K43" s="116"/>
      <c r="L43" s="117">
        <f t="shared" si="1"/>
        <v>4056.39</v>
      </c>
      <c r="M43" s="115">
        <f>J43/(1+D33)^10</f>
        <v>0</v>
      </c>
      <c r="N43" s="116"/>
      <c r="O43" s="122">
        <f>O42+J43/(1+D33)^10</f>
        <v>3844.91943127962</v>
      </c>
      <c r="P43" s="123"/>
      <c r="Q43" s="74"/>
      <c r="R43" s="74"/>
      <c r="S43" s="74" t="e">
        <f t="shared" si="4"/>
        <v>#DIV/0!</v>
      </c>
      <c r="T43" s="25" t="str">
        <f t="shared" si="5"/>
        <v>F</v>
      </c>
      <c r="U43" s="74" t="e">
        <f t="shared" si="2"/>
        <v>#DIV/0!</v>
      </c>
      <c r="V43" s="128" t="str">
        <f>IF(O42&lt;0,IF(O43&gt;=0,"T","F"),"F")</f>
        <v>F</v>
      </c>
      <c r="W43" s="23"/>
    </row>
    <row r="44" ht="21" customHeight="1" spans="1:23">
      <c r="A44" s="100"/>
      <c r="B44" s="129"/>
      <c r="C44" s="31" t="s">
        <v>188</v>
      </c>
      <c r="D44" s="31" t="s">
        <v>177</v>
      </c>
      <c r="E44" s="130">
        <f>NPV(D33,E34,E35,E36,E37,E38,E39,E40,E41,E42,E43)</f>
        <v>12814.2464454976</v>
      </c>
      <c r="F44" s="31" t="s">
        <v>189</v>
      </c>
      <c r="G44" s="122">
        <f>NPV(D33,G34:I43)</f>
        <v>8969.32701421801</v>
      </c>
      <c r="H44" s="131"/>
      <c r="I44" s="123"/>
      <c r="J44" s="122"/>
      <c r="K44" s="123"/>
      <c r="L44" s="131"/>
      <c r="M44" s="122"/>
      <c r="N44" s="123"/>
      <c r="O44" s="130"/>
      <c r="P44" s="130"/>
      <c r="Q44" s="74"/>
      <c r="R44" s="74"/>
      <c r="S44" s="74"/>
      <c r="T44" s="25"/>
      <c r="U44" s="74"/>
      <c r="V44" s="25"/>
      <c r="W44" s="132"/>
    </row>
    <row r="45" ht="21" customHeight="1" spans="1:23">
      <c r="A45" s="133" t="s">
        <v>190</v>
      </c>
      <c r="B45" s="134"/>
      <c r="C45" s="135">
        <f>NPV(D33,J34:K43)</f>
        <v>3844.91943127962</v>
      </c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7"/>
      <c r="Q45" s="138"/>
      <c r="R45" s="74"/>
      <c r="S45" s="74" t="e">
        <f>INDEX(S34:T43,T45,1)</f>
        <v>#REF!</v>
      </c>
      <c r="T45" s="74">
        <f>MATCH("T",T34:T43,0)</f>
        <v>1</v>
      </c>
      <c r="U45" s="74" t="e">
        <f>INDEX(U34:V43,V45,1)</f>
        <v>#REF!</v>
      </c>
      <c r="V45" s="74">
        <f>MATCH("T",V34:V43,0)</f>
        <v>1</v>
      </c>
      <c r="W45" s="132"/>
    </row>
    <row r="46" ht="21" customHeight="1" spans="1:23">
      <c r="A46" s="139" t="s">
        <v>191</v>
      </c>
      <c r="B46" s="140"/>
      <c r="C46" s="141">
        <f>IF(T45=1,1,IF(S45=1,T45,T45+S45))</f>
        <v>1</v>
      </c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3"/>
      <c r="Q46" s="138"/>
      <c r="R46" s="74"/>
      <c r="S46" s="74"/>
      <c r="T46" s="74"/>
      <c r="U46" s="74"/>
      <c r="V46" s="74"/>
      <c r="W46" s="74"/>
    </row>
    <row r="47" ht="21" customHeight="1" spans="1:23">
      <c r="A47" s="139" t="s">
        <v>16</v>
      </c>
      <c r="B47" s="140"/>
      <c r="C47" s="144">
        <f>C45/G44</f>
        <v>0.428674238901617</v>
      </c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6"/>
      <c r="Q47" s="138"/>
      <c r="R47" s="74"/>
      <c r="S47" s="74"/>
      <c r="T47" s="74"/>
      <c r="U47" s="74"/>
      <c r="V47" s="74"/>
      <c r="W47" s="74"/>
    </row>
    <row r="48" ht="21" customHeight="1" spans="1:23">
      <c r="A48" s="147" t="s">
        <v>25</v>
      </c>
      <c r="B48" s="148"/>
      <c r="C48" s="149" t="e">
        <f>IRR(J34:J43)</f>
        <v>#NUM!</v>
      </c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1"/>
      <c r="Q48" s="138"/>
      <c r="R48" s="74"/>
      <c r="S48" s="74"/>
      <c r="T48" s="74"/>
      <c r="U48" s="74"/>
      <c r="V48" s="74"/>
      <c r="W48" s="74"/>
    </row>
    <row r="49" ht="21" customHeight="1" spans="1:23">
      <c r="A49" s="152" t="s">
        <v>192</v>
      </c>
      <c r="B49" s="152"/>
      <c r="C49" s="149">
        <f>(G12-G32)/G12</f>
        <v>0.300050373436556</v>
      </c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1"/>
      <c r="P49" s="153"/>
      <c r="Q49" s="138"/>
      <c r="R49" s="74"/>
      <c r="S49" s="74"/>
      <c r="T49" s="74"/>
      <c r="U49" s="74"/>
      <c r="V49" s="74"/>
      <c r="W49" s="74"/>
    </row>
    <row r="50" ht="21.6" customHeight="1" spans="1:23">
      <c r="A50" s="152" t="s">
        <v>87</v>
      </c>
      <c r="B50" s="152"/>
      <c r="C50" s="154">
        <f>IF(V45=1,1,IF(U45=1,V45,V45+U45))</f>
        <v>1</v>
      </c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6"/>
      <c r="P50" s="74"/>
      <c r="Q50" s="74"/>
      <c r="R50" s="74"/>
      <c r="S50" s="74"/>
      <c r="T50" s="74"/>
      <c r="U50" s="74"/>
      <c r="W50" s="23"/>
    </row>
    <row r="51" ht="21.6" customHeight="1" spans="1:23">
      <c r="A51" s="157" t="s">
        <v>193</v>
      </c>
      <c r="B51" s="158"/>
      <c r="C51" s="158"/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9"/>
      <c r="P51" s="74"/>
      <c r="Q51" s="74"/>
      <c r="R51" s="74"/>
      <c r="S51" s="74"/>
      <c r="T51" s="74"/>
      <c r="U51" s="74"/>
      <c r="W51" s="23"/>
    </row>
    <row r="52" ht="21.6" customHeight="1" spans="1:23">
      <c r="A52" s="160"/>
      <c r="B52" s="161"/>
      <c r="C52" s="161"/>
      <c r="D52" s="162" t="s">
        <v>194</v>
      </c>
      <c r="E52" s="163">
        <f>SUM(G3:G8)</f>
        <v>12924.53</v>
      </c>
      <c r="F52" s="162" t="s">
        <v>195</v>
      </c>
      <c r="G52" s="164">
        <f>SUM(G13:G22)</f>
        <v>9190.16</v>
      </c>
      <c r="H52" s="165"/>
      <c r="I52" s="161"/>
      <c r="J52" s="166" t="s">
        <v>196</v>
      </c>
      <c r="K52" s="167"/>
      <c r="L52" s="168" t="s">
        <v>197</v>
      </c>
      <c r="M52" s="169" t="s">
        <v>198</v>
      </c>
      <c r="N52" s="170"/>
      <c r="O52" s="171" t="s">
        <v>199</v>
      </c>
      <c r="P52" s="172"/>
      <c r="Q52" s="74"/>
      <c r="R52" s="74"/>
      <c r="S52" s="74"/>
      <c r="T52" s="74"/>
      <c r="U52" s="74"/>
      <c r="W52" s="23"/>
    </row>
    <row r="53" ht="19.2" customHeight="1" spans="1:23">
      <c r="A53" s="108" t="s">
        <v>200</v>
      </c>
      <c r="B53" s="109"/>
      <c r="C53" s="31" t="s">
        <v>176</v>
      </c>
      <c r="D53" s="55" t="s">
        <v>201</v>
      </c>
      <c r="E53" s="173">
        <f>G3</f>
        <v>12924.53</v>
      </c>
      <c r="F53" s="31" t="s">
        <v>202</v>
      </c>
      <c r="G53" s="174">
        <f>G13+G16+G20+G17</f>
        <v>9190.16</v>
      </c>
      <c r="H53" s="175"/>
      <c r="I53" s="175"/>
      <c r="J53" s="115">
        <f t="shared" ref="J53:J62" si="6">E53-G53</f>
        <v>3734.37</v>
      </c>
      <c r="K53" s="116"/>
      <c r="L53" s="117">
        <f>J53</f>
        <v>3734.37</v>
      </c>
      <c r="M53" s="115">
        <f>J53/(1+D33)^1</f>
        <v>3539.68720379147</v>
      </c>
      <c r="N53" s="116"/>
      <c r="O53" s="118">
        <f>J53/(1+D33)^1</f>
        <v>3539.68720379147</v>
      </c>
      <c r="P53" s="119"/>
      <c r="U53" s="24"/>
      <c r="W53" s="23"/>
    </row>
    <row r="54" ht="19.2" customHeight="1" spans="1:23">
      <c r="A54" s="120"/>
      <c r="B54" s="121"/>
      <c r="C54" s="31" t="s">
        <v>179</v>
      </c>
      <c r="D54" s="31" t="s">
        <v>201</v>
      </c>
      <c r="E54" s="124"/>
      <c r="F54" s="31" t="s">
        <v>202</v>
      </c>
      <c r="G54" s="125"/>
      <c r="H54" s="126"/>
      <c r="I54" s="127"/>
      <c r="J54" s="115">
        <f t="shared" si="6"/>
        <v>0</v>
      </c>
      <c r="K54" s="116"/>
      <c r="L54" s="117">
        <f t="shared" ref="L54:L62" si="7">L53+J54</f>
        <v>3734.37</v>
      </c>
      <c r="M54" s="115">
        <f>J54/(1+D33)^2</f>
        <v>0</v>
      </c>
      <c r="N54" s="116"/>
      <c r="O54" s="122">
        <f>O53+J54/(1+D33)^2</f>
        <v>3539.68720379147</v>
      </c>
      <c r="P54" s="123"/>
      <c r="U54" s="24"/>
      <c r="W54" s="23"/>
    </row>
    <row r="55" ht="21.15" spans="1:23">
      <c r="A55" s="120"/>
      <c r="B55" s="121"/>
      <c r="C55" s="31" t="s">
        <v>180</v>
      </c>
      <c r="D55" s="31" t="s">
        <v>201</v>
      </c>
      <c r="E55" s="124"/>
      <c r="F55" s="31" t="s">
        <v>202</v>
      </c>
      <c r="G55" s="125"/>
      <c r="H55" s="126"/>
      <c r="I55" s="127"/>
      <c r="J55" s="115">
        <f t="shared" si="6"/>
        <v>0</v>
      </c>
      <c r="K55" s="116"/>
      <c r="L55" s="117">
        <f t="shared" si="7"/>
        <v>3734.37</v>
      </c>
      <c r="M55" s="115">
        <f>J55/(1+D33)^3</f>
        <v>0</v>
      </c>
      <c r="N55" s="116"/>
      <c r="O55" s="122">
        <f>O54+J55/(1+D33)^3</f>
        <v>3539.68720379147</v>
      </c>
      <c r="P55" s="123"/>
    </row>
    <row r="56" ht="21.15" spans="1:23">
      <c r="A56" s="120"/>
      <c r="B56" s="121"/>
      <c r="C56" s="31" t="s">
        <v>181</v>
      </c>
      <c r="D56" s="31" t="s">
        <v>201</v>
      </c>
      <c r="E56" s="124"/>
      <c r="F56" s="31" t="s">
        <v>202</v>
      </c>
      <c r="G56" s="125"/>
      <c r="H56" s="126"/>
      <c r="I56" s="127"/>
      <c r="J56" s="115">
        <f t="shared" si="6"/>
        <v>0</v>
      </c>
      <c r="K56" s="116"/>
      <c r="L56" s="117">
        <f t="shared" si="7"/>
        <v>3734.37</v>
      </c>
      <c r="M56" s="115">
        <f>J56/(1+D33)^4</f>
        <v>0</v>
      </c>
      <c r="N56" s="116"/>
      <c r="O56" s="122">
        <f>O55+J56/(1+D33)^4</f>
        <v>3539.68720379147</v>
      </c>
      <c r="P56" s="123"/>
    </row>
    <row r="57" ht="21.15" spans="1:23">
      <c r="A57" s="120"/>
      <c r="B57" s="121"/>
      <c r="C57" s="31" t="s">
        <v>182</v>
      </c>
      <c r="D57" s="31" t="s">
        <v>201</v>
      </c>
      <c r="E57" s="124"/>
      <c r="F57" s="31" t="s">
        <v>202</v>
      </c>
      <c r="G57" s="125"/>
      <c r="H57" s="126"/>
      <c r="I57" s="127"/>
      <c r="J57" s="115">
        <f t="shared" si="6"/>
        <v>0</v>
      </c>
      <c r="K57" s="116"/>
      <c r="L57" s="117">
        <f t="shared" si="7"/>
        <v>3734.37</v>
      </c>
      <c r="M57" s="115">
        <f>J57/(1+D33)^5</f>
        <v>0</v>
      </c>
      <c r="N57" s="116"/>
      <c r="O57" s="122">
        <f>O56+J57/(1+D33)^5</f>
        <v>3539.68720379147</v>
      </c>
      <c r="P57" s="123"/>
    </row>
    <row r="58" ht="21.15" spans="1:23">
      <c r="A58" s="120"/>
      <c r="B58" s="121"/>
      <c r="C58" s="31" t="s">
        <v>183</v>
      </c>
      <c r="D58" s="31" t="s">
        <v>201</v>
      </c>
      <c r="E58" s="124"/>
      <c r="F58" s="31" t="s">
        <v>202</v>
      </c>
      <c r="G58" s="125"/>
      <c r="H58" s="126"/>
      <c r="I58" s="127"/>
      <c r="J58" s="115">
        <f t="shared" si="6"/>
        <v>0</v>
      </c>
      <c r="K58" s="116"/>
      <c r="L58" s="117">
        <f t="shared" si="7"/>
        <v>3734.37</v>
      </c>
      <c r="M58" s="115">
        <f>J58/(1+D33)^6</f>
        <v>0</v>
      </c>
      <c r="N58" s="116"/>
      <c r="O58" s="122">
        <f>O57+J58/(1+D33)^6</f>
        <v>3539.68720379147</v>
      </c>
      <c r="P58" s="123"/>
    </row>
    <row r="59" ht="21.15" spans="1:23">
      <c r="A59" s="120"/>
      <c r="B59" s="121"/>
      <c r="C59" s="31" t="s">
        <v>184</v>
      </c>
      <c r="D59" s="31" t="s">
        <v>201</v>
      </c>
      <c r="E59" s="124"/>
      <c r="F59" s="31" t="s">
        <v>202</v>
      </c>
      <c r="G59" s="125"/>
      <c r="H59" s="126"/>
      <c r="I59" s="127"/>
      <c r="J59" s="115">
        <f t="shared" si="6"/>
        <v>0</v>
      </c>
      <c r="K59" s="116"/>
      <c r="L59" s="117">
        <f t="shared" si="7"/>
        <v>3734.37</v>
      </c>
      <c r="M59" s="115">
        <f>J59/(1+D33)^7</f>
        <v>0</v>
      </c>
      <c r="N59" s="116"/>
      <c r="O59" s="122">
        <f>O58+J59/(1+D33)^7</f>
        <v>3539.68720379147</v>
      </c>
      <c r="P59" s="123"/>
    </row>
    <row r="60" ht="21.15" spans="1:23">
      <c r="A60" s="120"/>
      <c r="B60" s="121"/>
      <c r="C60" s="31" t="s">
        <v>185</v>
      </c>
      <c r="D60" s="31" t="s">
        <v>201</v>
      </c>
      <c r="E60" s="124"/>
      <c r="F60" s="31" t="s">
        <v>202</v>
      </c>
      <c r="G60" s="125"/>
      <c r="H60" s="126"/>
      <c r="I60" s="127"/>
      <c r="J60" s="115">
        <f t="shared" si="6"/>
        <v>0</v>
      </c>
      <c r="K60" s="116"/>
      <c r="L60" s="117">
        <f t="shared" si="7"/>
        <v>3734.37</v>
      </c>
      <c r="M60" s="115">
        <f>J60/(1+D33)^8</f>
        <v>0</v>
      </c>
      <c r="N60" s="116"/>
      <c r="O60" s="122">
        <f>O59+J60/(1+D33)^8</f>
        <v>3539.68720379147</v>
      </c>
      <c r="P60" s="123"/>
    </row>
    <row r="61" ht="21.15" spans="1:23">
      <c r="A61" s="120"/>
      <c r="B61" s="121"/>
      <c r="C61" s="31" t="s">
        <v>186</v>
      </c>
      <c r="D61" s="31" t="s">
        <v>201</v>
      </c>
      <c r="E61" s="124"/>
      <c r="F61" s="31" t="s">
        <v>202</v>
      </c>
      <c r="G61" s="125"/>
      <c r="H61" s="126"/>
      <c r="I61" s="127"/>
      <c r="J61" s="115">
        <f t="shared" si="6"/>
        <v>0</v>
      </c>
      <c r="K61" s="116"/>
      <c r="L61" s="117">
        <f t="shared" si="7"/>
        <v>3734.37</v>
      </c>
      <c r="M61" s="115">
        <f>J61/(1+D33)^9</f>
        <v>0</v>
      </c>
      <c r="N61" s="116"/>
      <c r="O61" s="122">
        <f>O60+J61/(1+D33)^9</f>
        <v>3539.68720379147</v>
      </c>
      <c r="P61" s="123"/>
    </row>
    <row r="62" ht="21.15" spans="1:23">
      <c r="A62" s="120"/>
      <c r="B62" s="121"/>
      <c r="C62" s="31" t="s">
        <v>187</v>
      </c>
      <c r="D62" s="31" t="s">
        <v>201</v>
      </c>
      <c r="E62" s="124"/>
      <c r="F62" s="31" t="s">
        <v>202</v>
      </c>
      <c r="G62" s="125"/>
      <c r="H62" s="126"/>
      <c r="I62" s="127"/>
      <c r="J62" s="115">
        <f t="shared" si="6"/>
        <v>0</v>
      </c>
      <c r="K62" s="116"/>
      <c r="L62" s="117">
        <f t="shared" si="7"/>
        <v>3734.37</v>
      </c>
      <c r="M62" s="115">
        <f>J62/(1+D33)^10</f>
        <v>0</v>
      </c>
      <c r="N62" s="116"/>
      <c r="O62" s="122">
        <f>O61+J62/(1+D33)^10</f>
        <v>3539.68720379147</v>
      </c>
      <c r="P62" s="123"/>
      <c r="W62" s="23"/>
    </row>
    <row r="63" ht="21.15" spans="1:23">
      <c r="A63" s="100"/>
      <c r="B63" s="129"/>
      <c r="C63" s="31" t="s">
        <v>188</v>
      </c>
      <c r="D63" s="31" t="s">
        <v>177</v>
      </c>
      <c r="E63" s="130">
        <f>NPV(D33,E53:E62)</f>
        <v>12250.7393364929</v>
      </c>
      <c r="F63" s="31" t="s">
        <v>203</v>
      </c>
      <c r="G63" s="122">
        <f>NPV(D33,G53:I62)</f>
        <v>8711.05213270142</v>
      </c>
      <c r="H63" s="131"/>
      <c r="I63" s="123"/>
      <c r="J63" s="122"/>
      <c r="K63" s="123"/>
      <c r="L63" s="131"/>
      <c r="M63" s="122"/>
      <c r="N63" s="123"/>
      <c r="O63" s="130"/>
      <c r="P63" s="130"/>
      <c r="W63" s="23"/>
    </row>
    <row r="64" ht="21.15" spans="1:23">
      <c r="A64" s="176" t="s">
        <v>204</v>
      </c>
      <c r="B64" s="177"/>
      <c r="C64" s="135">
        <f>NPV(D33,J53:K62)</f>
        <v>3539.68720379147</v>
      </c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7"/>
      <c r="P64" s="178"/>
      <c r="W64" s="23"/>
    </row>
    <row r="65" ht="21.15" spans="1:15">
      <c r="A65" s="176" t="s">
        <v>29</v>
      </c>
      <c r="B65" s="177"/>
      <c r="C65" s="149">
        <f>C64/G63</f>
        <v>0.40634439443927</v>
      </c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1"/>
    </row>
    <row r="66" ht="21.15" spans="1:15">
      <c r="A66" s="176" t="s">
        <v>88</v>
      </c>
      <c r="B66" s="177"/>
      <c r="C66" s="179">
        <f>(E52-G52)/E52</f>
        <v>0.288936618971831</v>
      </c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1"/>
    </row>
    <row r="68" spans="1:15">
      <c r="B68" s="182" t="s">
        <v>205</v>
      </c>
      <c r="C68" s="183"/>
      <c r="D68" s="183"/>
      <c r="E68" s="183"/>
      <c r="F68" s="183"/>
      <c r="G68" s="183"/>
      <c r="H68" s="183"/>
    </row>
    <row r="69" spans="1:15">
      <c r="B69" s="183" t="s">
        <v>206</v>
      </c>
      <c r="C69" s="183"/>
      <c r="D69" s="183"/>
      <c r="E69" s="183"/>
      <c r="F69" s="183"/>
      <c r="G69" s="183"/>
      <c r="H69" s="183"/>
    </row>
    <row r="70" spans="1:15">
      <c r="B70" s="23" t="s">
        <v>207</v>
      </c>
    </row>
    <row r="71" spans="1:15">
      <c r="B71" s="23" t="s">
        <v>208</v>
      </c>
    </row>
    <row r="72" spans="1:15">
      <c r="B72" s="23" t="s">
        <v>209</v>
      </c>
      <c r="E72" s="184"/>
    </row>
    <row r="73" spans="1:15">
      <c r="B73" s="185" t="s">
        <v>210</v>
      </c>
    </row>
  </sheetData>
  <protectedRanges>
    <protectedRange sqref="D33 O2 D2 G11:G12 G18:G19 G29:G32 I3:N17 I19:N32" name="区域2_2"/>
    <protectedRange sqref="G55:G62 G37:G43" name="区域1_2"/>
    <protectedRange sqref="G15:G16" name="区域2_3"/>
    <protectedRange sqref="G3:G10 G13" name="区域2_2_1"/>
    <protectedRange sqref="G25:G27" name="区域2_2_2"/>
    <protectedRange sqref="G23:G24" name="区域2_2_2_1"/>
  </protectedRanges>
  <mergeCells count="196">
    <mergeCell ref="B1:P1"/>
    <mergeCell ref="A2:B2"/>
    <mergeCell ref="D2:F2"/>
    <mergeCell ref="H2:P2"/>
    <mergeCell ref="D3:F3"/>
    <mergeCell ref="I3:P3"/>
    <mergeCell ref="D4:F4"/>
    <mergeCell ref="I4:P4"/>
    <mergeCell ref="D5:F5"/>
    <mergeCell ref="I5:P5"/>
    <mergeCell ref="D6:F6"/>
    <mergeCell ref="J6:O6"/>
    <mergeCell ref="D7:F7"/>
    <mergeCell ref="J7:O7"/>
    <mergeCell ref="D8:F8"/>
    <mergeCell ref="I8:P8"/>
    <mergeCell ref="D9:F9"/>
    <mergeCell ref="I9:P9"/>
    <mergeCell ref="D10:F10"/>
    <mergeCell ref="I10:P10"/>
    <mergeCell ref="D11:F11"/>
    <mergeCell ref="I11:P11"/>
    <mergeCell ref="D12:F12"/>
    <mergeCell ref="J12:O12"/>
    <mergeCell ref="E13:F13"/>
    <mergeCell ref="I13:P13"/>
    <mergeCell ref="E14:F14"/>
    <mergeCell ref="I14:P14"/>
    <mergeCell ref="E15:F15"/>
    <mergeCell ref="I15:P15"/>
    <mergeCell ref="E16:F16"/>
    <mergeCell ref="J16:O16"/>
    <mergeCell ref="E17:F17"/>
    <mergeCell ref="J17:O17"/>
    <mergeCell ref="E18:F18"/>
    <mergeCell ref="I18:P18"/>
    <mergeCell ref="E19:F19"/>
    <mergeCell ref="I19:P19"/>
    <mergeCell ref="E20:F20"/>
    <mergeCell ref="I20:P20"/>
    <mergeCell ref="E21:F21"/>
    <mergeCell ref="I21:P21"/>
    <mergeCell ref="E22:F22"/>
    <mergeCell ref="I22:P22"/>
    <mergeCell ref="E23:F23"/>
    <mergeCell ref="I23:P23"/>
    <mergeCell ref="E24:F24"/>
    <mergeCell ref="I24:P24"/>
    <mergeCell ref="E25:F25"/>
    <mergeCell ref="J25:O25"/>
    <mergeCell ref="E26:F26"/>
    <mergeCell ref="I26:P26"/>
    <mergeCell ref="E27:F27"/>
    <mergeCell ref="I27:P27"/>
    <mergeCell ref="E28:F28"/>
    <mergeCell ref="I28:P28"/>
    <mergeCell ref="D29:F29"/>
    <mergeCell ref="I29:P29"/>
    <mergeCell ref="D30:F30"/>
    <mergeCell ref="I30:P30"/>
    <mergeCell ref="D31:F31"/>
    <mergeCell ref="J31:O31"/>
    <mergeCell ref="D32:F32"/>
    <mergeCell ref="J32:O32"/>
    <mergeCell ref="A33:B33"/>
    <mergeCell ref="D33:H33"/>
    <mergeCell ref="J33:K33"/>
    <mergeCell ref="M33:N33"/>
    <mergeCell ref="O33:P33"/>
    <mergeCell ref="G34:I34"/>
    <mergeCell ref="J34:K34"/>
    <mergeCell ref="M34:N34"/>
    <mergeCell ref="O34:P34"/>
    <mergeCell ref="G35:H35"/>
    <mergeCell ref="J35:K35"/>
    <mergeCell ref="M35:N35"/>
    <mergeCell ref="O35:P35"/>
    <mergeCell ref="G36:H36"/>
    <mergeCell ref="J36:K36"/>
    <mergeCell ref="M36:N36"/>
    <mergeCell ref="O36:P36"/>
    <mergeCell ref="G37:I37"/>
    <mergeCell ref="J37:K37"/>
    <mergeCell ref="M37:N37"/>
    <mergeCell ref="O37:P37"/>
    <mergeCell ref="G38:I38"/>
    <mergeCell ref="J38:K38"/>
    <mergeCell ref="M38:N38"/>
    <mergeCell ref="O38:P38"/>
    <mergeCell ref="G39:I39"/>
    <mergeCell ref="J39:K39"/>
    <mergeCell ref="M39:N39"/>
    <mergeCell ref="O39:P39"/>
    <mergeCell ref="G40:I40"/>
    <mergeCell ref="J40:K40"/>
    <mergeCell ref="M40:N40"/>
    <mergeCell ref="O40:P40"/>
    <mergeCell ref="G41:I41"/>
    <mergeCell ref="J41:K41"/>
    <mergeCell ref="M41:N41"/>
    <mergeCell ref="O41:P41"/>
    <mergeCell ref="G42:I42"/>
    <mergeCell ref="J42:K42"/>
    <mergeCell ref="M42:N42"/>
    <mergeCell ref="O42:P42"/>
    <mergeCell ref="G43:I43"/>
    <mergeCell ref="J43:K43"/>
    <mergeCell ref="M43:N43"/>
    <mergeCell ref="O43:P43"/>
    <mergeCell ref="G44:I44"/>
    <mergeCell ref="J44:K44"/>
    <mergeCell ref="M44:N44"/>
    <mergeCell ref="O44:P44"/>
    <mergeCell ref="A45:B45"/>
    <mergeCell ref="C45:P45"/>
    <mergeCell ref="A46:B46"/>
    <mergeCell ref="C46:P46"/>
    <mergeCell ref="A47:B47"/>
    <mergeCell ref="C47:P47"/>
    <mergeCell ref="A48:B48"/>
    <mergeCell ref="C48:P48"/>
    <mergeCell ref="A49:B49"/>
    <mergeCell ref="C49:O49"/>
    <mergeCell ref="A50:B50"/>
    <mergeCell ref="C50:O50"/>
    <mergeCell ref="A51:O51"/>
    <mergeCell ref="G52:H52"/>
    <mergeCell ref="J52:K52"/>
    <mergeCell ref="M52:N52"/>
    <mergeCell ref="O52:P52"/>
    <mergeCell ref="G53:I53"/>
    <mergeCell ref="J53:K53"/>
    <mergeCell ref="M53:N53"/>
    <mergeCell ref="O53:P53"/>
    <mergeCell ref="G54:I54"/>
    <mergeCell ref="J54:K54"/>
    <mergeCell ref="M54:N54"/>
    <mergeCell ref="O54:P54"/>
    <mergeCell ref="G55:I55"/>
    <mergeCell ref="J55:K55"/>
    <mergeCell ref="M55:N55"/>
    <mergeCell ref="O55:P55"/>
    <mergeCell ref="G56:I56"/>
    <mergeCell ref="J56:K56"/>
    <mergeCell ref="M56:N56"/>
    <mergeCell ref="O56:P56"/>
    <mergeCell ref="G57:I57"/>
    <mergeCell ref="J57:K57"/>
    <mergeCell ref="M57:N57"/>
    <mergeCell ref="O57:P57"/>
    <mergeCell ref="G58:I58"/>
    <mergeCell ref="J58:K58"/>
    <mergeCell ref="M58:N58"/>
    <mergeCell ref="O58:P58"/>
    <mergeCell ref="G59:I59"/>
    <mergeCell ref="J59:K59"/>
    <mergeCell ref="M59:N59"/>
    <mergeCell ref="O59:P59"/>
    <mergeCell ref="G60:I60"/>
    <mergeCell ref="J60:K60"/>
    <mergeCell ref="M60:N60"/>
    <mergeCell ref="O60:P60"/>
    <mergeCell ref="G61:I61"/>
    <mergeCell ref="J61:K61"/>
    <mergeCell ref="M61:N61"/>
    <mergeCell ref="O61:P61"/>
    <mergeCell ref="G62:I62"/>
    <mergeCell ref="J62:K62"/>
    <mergeCell ref="M62:N62"/>
    <mergeCell ref="O62:P62"/>
    <mergeCell ref="G63:I63"/>
    <mergeCell ref="J63:K63"/>
    <mergeCell ref="M63:N63"/>
    <mergeCell ref="O63:P63"/>
    <mergeCell ref="A64:B64"/>
    <mergeCell ref="C64:O64"/>
    <mergeCell ref="A65:B65"/>
    <mergeCell ref="C65:O65"/>
    <mergeCell ref="A66:B66"/>
    <mergeCell ref="C66:O66"/>
    <mergeCell ref="B68:H68"/>
    <mergeCell ref="B69:H69"/>
    <mergeCell ref="C3:C8"/>
    <mergeCell ref="C9:C10"/>
    <mergeCell ref="C13:C22"/>
    <mergeCell ref="C23:C27"/>
    <mergeCell ref="C29:C31"/>
    <mergeCell ref="D13:D17"/>
    <mergeCell ref="D18:D19"/>
    <mergeCell ref="D20:D22"/>
    <mergeCell ref="D23:D25"/>
    <mergeCell ref="D26:D27"/>
    <mergeCell ref="A3:B12"/>
    <mergeCell ref="A13:B32"/>
    <mergeCell ref="A34:B44"/>
    <mergeCell ref="A53:B63"/>
  </mergeCells>
  <dataValidations count="2">
    <dataValidation type="list" allowBlank="1" showInputMessage="1" showErrorMessage="1" sqref="JE2:JG2 TA2:TC2 ACW2:ACY2 AMS2:AMU2 AWO2:AWQ2 BGK2:BGM2 BQG2:BQI2 CAC2:CAE2 CJY2:CKA2 CTU2:CTW2 DDQ2:DDS2 DNM2:DNO2 DXI2:DXK2 EHE2:EHG2 ERA2:ERC2 FAW2:FAY2 FKS2:FKU2 FUO2:FUQ2 GEK2:GEM2 GOG2:GOI2 GYC2:GYE2 HHY2:HIA2 HRU2:HRW2 IBQ2:IBS2 ILM2:ILO2 IVI2:IVK2 JFE2:JFG2 JPA2:JPC2 JYW2:JYY2 KIS2:KIU2 KSO2:KSQ2 LCK2:LCM2 LMG2:LMI2 LWC2:LWE2 MFY2:MGA2 MPU2:MPW2 MZQ2:MZS2 NJM2:NJO2 NTI2:NTK2 ODE2:ODG2 ONA2:ONC2 OWW2:OWY2 PGS2:PGU2 PQO2:PQQ2 QAK2:QAM2 QKG2:QKI2 QUC2:QUE2 RDY2:REA2 RNU2:RNW2 RXQ2:RXS2 SHM2:SHO2 SRI2:SRK2 TBE2:TBG2 TLA2:TLC2 TUW2:TUY2 UES2:UEU2 UOO2:UOQ2 UYK2:UYM2 VIG2:VII2 VSC2:VSE2 WBY2:WCA2 WLU2:WLW2 WVQ2:WVS2 JE65505:JG65505 TA65505:TC65505 ACW65505:ACY65505 AMS65505:AMU65505 AWO65505:AWQ65505 BGK65505:BGM65505 BQG65505:BQI65505 CAC65505:CAE65505 CJY65505:CKA65505 CTU65505:CTW65505 DDQ65505:DDS65505 DNM65505:DNO65505 DXI65505:DXK65505 EHE65505:EHG65505 ERA65505:ERC65505 FAW65505:FAY65505 FKS65505:FKU65505 FUO65505:FUQ65505 GEK65505:GEM65505 GOG65505:GOI65505 GYC65505:GYE65505 HHY65505:HIA65505 HRU65505:HRW65505 IBQ65505:IBS65505 ILM65505:ILO65505 IVI65505:IVK65505 JFE65505:JFG65505 JPA65505:JPC65505 JYW65505:JYY65505 KIS65505:KIU65505 KSO65505:KSQ65505 LCK65505:LCM65505 LMG65505:LMI65505 LWC65505:LWE65505 MFY65505:MGA65505 MPU65505:MPW65505 MZQ65505:MZS65505 NJM65505:NJO65505 NTI65505:NTK65505 ODE65505:ODG65505 ONA65505:ONC65505 OWW65505:OWY65505 PGS65505:PGU65505 PQO65505:PQQ65505 QAK65505:QAM65505 QKG65505:QKI65505 QUC65505:QUE65505 RDY65505:REA65505 RNU65505:RNW65505 RXQ65505:RXS65505 SHM65505:SHO65505 SRI65505:SRK65505 TBE65505:TBG65505 TLA65505:TLC65505 TUW65505:TUY65505 UES65505:UEU65505 UOO65505:UOQ65505 UYK65505:UYM65505 VIG65505:VII65505 VSC65505:VSE65505 WBY65505:WCA65505 WLU65505:WLW65505 WVQ65505:WVS65505 H65516:N65516 JE131041:JG131041 TA131041:TC131041 ACW131041:ACY131041 AMS131041:AMU131041 AWO131041:AWQ131041 BGK131041:BGM131041 BQG131041:BQI131041 CAC131041:CAE131041 CJY131041:CKA131041 CTU131041:CTW131041 DDQ131041:DDS131041 DNM131041:DNO131041 DXI131041:DXK131041 EHE131041:EHG131041 ERA131041:ERC131041 FAW131041:FAY131041 FKS131041:FKU131041 FUO131041:FUQ131041 GEK131041:GEM131041 GOG131041:GOI131041 GYC131041:GYE131041 HHY131041:HIA131041 HRU131041:HRW131041 IBQ131041:IBS131041 ILM131041:ILO131041 IVI131041:IVK131041 JFE131041:JFG131041 JPA131041:JPC131041 JYW131041:JYY131041 KIS131041:KIU131041 KSO131041:KSQ131041 LCK131041:LCM131041 LMG131041:LMI131041 LWC131041:LWE131041 MFY131041:MGA131041 MPU131041:MPW131041 MZQ131041:MZS131041 NJM131041:NJO131041 NTI131041:NTK131041 ODE131041:ODG131041 ONA131041:ONC131041 OWW131041:OWY131041 PGS131041:PGU131041 PQO131041:PQQ131041 QAK131041:QAM131041 QKG131041:QKI131041 QUC131041:QUE131041 RDY131041:REA131041 RNU131041:RNW131041 RXQ131041:RXS131041 SHM131041:SHO131041 SRI131041:SRK131041 TBE131041:TBG131041 TLA131041:TLC131041 TUW131041:TUY131041 UES131041:UEU131041 UOO131041:UOQ131041 UYK131041:UYM131041 VIG131041:VII131041 VSC131041:VSE131041 WBY131041:WCA131041 WLU131041:WLW131041 WVQ131041:WVS131041 H131052:N131052 JE196577:JG196577 TA196577:TC196577 ACW196577:ACY196577 AMS196577:AMU196577 AWO196577:AWQ196577 BGK196577:BGM196577 BQG196577:BQI196577 CAC196577:CAE196577 CJY196577:CKA196577 CTU196577:CTW196577 DDQ196577:DDS196577 DNM196577:DNO196577 DXI196577:DXK196577 EHE196577:EHG196577 ERA196577:ERC196577 FAW196577:FAY196577 FKS196577:FKU196577 FUO196577:FUQ196577 GEK196577:GEM196577 GOG196577:GOI196577 GYC196577:GYE196577 HHY196577:HIA196577 HRU196577:HRW196577 IBQ196577:IBS196577 ILM196577:ILO196577 IVI196577:IVK196577 JFE196577:JFG196577 JPA196577:JPC196577 JYW196577:JYY196577 KIS196577:KIU196577 KSO196577:KSQ196577 LCK196577:LCM196577 LMG196577:LMI196577 LWC196577:LWE196577 MFY196577:MGA196577 MPU196577:MPW196577 MZQ196577:MZS196577 NJM196577:NJO196577 NTI196577:NTK196577 ODE196577:ODG196577 ONA196577:ONC196577 OWW196577:OWY196577 PGS196577:PGU196577 PQO196577:PQQ196577 QAK196577:QAM196577 QKG196577:QKI196577 QUC196577:QUE196577 RDY196577:REA196577 RNU196577:RNW196577 RXQ196577:RXS196577 SHM196577:SHO196577 SRI196577:SRK196577 TBE196577:TBG196577 TLA196577:TLC196577 TUW196577:TUY196577 UES196577:UEU196577 UOO196577:UOQ196577 UYK196577:UYM196577 VIG196577:VII196577 VSC196577:VSE196577 WBY196577:WCA196577 WLU196577:WLW196577 WVQ196577:WVS196577 H196588:N196588 JE262113:JG262113 TA262113:TC262113 ACW262113:ACY262113 AMS262113:AMU262113 AWO262113:AWQ262113 BGK262113:BGM262113 BQG262113:BQI262113 CAC262113:CAE262113 CJY262113:CKA262113 CTU262113:CTW262113 DDQ262113:DDS262113 DNM262113:DNO262113 DXI262113:DXK262113 EHE262113:EHG262113 ERA262113:ERC262113 FAW262113:FAY262113 FKS262113:FKU262113 FUO262113:FUQ262113 GEK262113:GEM262113 GOG262113:GOI262113 GYC262113:GYE262113 HHY262113:HIA262113 HRU262113:HRW262113 IBQ262113:IBS262113 ILM262113:ILO262113 IVI262113:IVK262113 JFE262113:JFG262113 JPA262113:JPC262113 JYW262113:JYY262113 KIS262113:KIU262113 KSO262113:KSQ262113 LCK262113:LCM262113 LMG262113:LMI262113 LWC262113:LWE262113 MFY262113:MGA262113 MPU262113:MPW262113 MZQ262113:MZS262113 NJM262113:NJO262113 NTI262113:NTK262113 ODE262113:ODG262113 ONA262113:ONC262113 OWW262113:OWY262113 PGS262113:PGU262113 PQO262113:PQQ262113 QAK262113:QAM262113 QKG262113:QKI262113 QUC262113:QUE262113 RDY262113:REA262113 RNU262113:RNW262113 RXQ262113:RXS262113 SHM262113:SHO262113 SRI262113:SRK262113 TBE262113:TBG262113 TLA262113:TLC262113 TUW262113:TUY262113 UES262113:UEU262113 UOO262113:UOQ262113 UYK262113:UYM262113 VIG262113:VII262113 VSC262113:VSE262113 WBY262113:WCA262113 WLU262113:WLW262113 WVQ262113:WVS262113 H262124:N262124 JE327649:JG327649 TA327649:TC327649 ACW327649:ACY327649 AMS327649:AMU327649 AWO327649:AWQ327649 BGK327649:BGM327649 BQG327649:BQI327649 CAC327649:CAE327649 CJY327649:CKA327649 CTU327649:CTW327649 DDQ327649:DDS327649 DNM327649:DNO327649 DXI327649:DXK327649 EHE327649:EHG327649 ERA327649:ERC327649 FAW327649:FAY327649 FKS327649:FKU327649 FUO327649:FUQ327649 GEK327649:GEM327649 GOG327649:GOI327649 GYC327649:GYE327649 HHY327649:HIA327649 HRU327649:HRW327649 IBQ327649:IBS327649 ILM327649:ILO327649 IVI327649:IVK327649 JFE327649:JFG327649 JPA327649:JPC327649 JYW327649:JYY327649 KIS327649:KIU327649 KSO327649:KSQ327649 LCK327649:LCM327649 LMG327649:LMI327649 LWC327649:LWE327649 MFY327649:MGA327649 MPU327649:MPW327649 MZQ327649:MZS327649 NJM327649:NJO327649 NTI327649:NTK327649 ODE327649:ODG327649 ONA327649:ONC327649 OWW327649:OWY327649 PGS327649:PGU327649 PQO327649:PQQ327649 QAK327649:QAM327649 QKG327649:QKI327649 QUC327649:QUE327649 RDY327649:REA327649 RNU327649:RNW327649 RXQ327649:RXS327649 SHM327649:SHO327649 SRI327649:SRK327649 TBE327649:TBG327649 TLA327649:TLC327649 TUW327649:TUY327649 UES327649:UEU327649 UOO327649:UOQ327649 UYK327649:UYM327649 VIG327649:VII327649 VSC327649:VSE327649 WBY327649:WCA327649 WLU327649:WLW327649 WVQ327649:WVS327649 H327660:N327660 JE393185:JG393185 TA393185:TC393185 ACW393185:ACY393185 AMS393185:AMU393185 AWO393185:AWQ393185 BGK393185:BGM393185 BQG393185:BQI393185 CAC393185:CAE393185 CJY393185:CKA393185 CTU393185:CTW393185 DDQ393185:DDS393185 DNM393185:DNO393185 DXI393185:DXK393185 EHE393185:EHG393185 ERA393185:ERC393185 FAW393185:FAY393185 FKS393185:FKU393185 FUO393185:FUQ393185 GEK393185:GEM393185 GOG393185:GOI393185 GYC393185:GYE393185 HHY393185:HIA393185 HRU393185:HRW393185 IBQ393185:IBS393185 ILM393185:ILO393185 IVI393185:IVK393185 JFE393185:JFG393185 JPA393185:JPC393185 JYW393185:JYY393185 KIS393185:KIU393185 KSO393185:KSQ393185 LCK393185:LCM393185 LMG393185:LMI393185 LWC393185:LWE393185 MFY393185:MGA393185 MPU393185:MPW393185 MZQ393185:MZS393185 NJM393185:NJO393185 NTI393185:NTK393185 ODE393185:ODG393185 ONA393185:ONC393185 OWW393185:OWY393185 PGS393185:PGU393185 PQO393185:PQQ393185 QAK393185:QAM393185 QKG393185:QKI393185 QUC393185:QUE393185 RDY393185:REA393185 RNU393185:RNW393185 RXQ393185:RXS393185 SHM393185:SHO393185 SRI393185:SRK393185 TBE393185:TBG393185 TLA393185:TLC393185 TUW393185:TUY393185 UES393185:UEU393185 UOO393185:UOQ393185 UYK393185:UYM393185 VIG393185:VII393185 VSC393185:VSE393185 WBY393185:WCA393185 WLU393185:WLW393185 WVQ393185:WVS393185 H393196:N393196 JE458721:JG458721 TA458721:TC458721 ACW458721:ACY458721 AMS458721:AMU458721 AWO458721:AWQ458721 BGK458721:BGM458721 BQG458721:BQI458721 CAC458721:CAE458721 CJY458721:CKA458721 CTU458721:CTW458721 DDQ458721:DDS458721 DNM458721:DNO458721 DXI458721:DXK458721 EHE458721:EHG458721 ERA458721:ERC458721 FAW458721:FAY458721 FKS458721:FKU458721 FUO458721:FUQ458721 GEK458721:GEM458721 GOG458721:GOI458721 GYC458721:GYE458721 HHY458721:HIA458721 HRU458721:HRW458721 IBQ458721:IBS458721 ILM458721:ILO458721 IVI458721:IVK458721 JFE458721:JFG458721 JPA458721:JPC458721 JYW458721:JYY458721 KIS458721:KIU458721 KSO458721:KSQ458721 LCK458721:LCM458721 LMG458721:LMI458721 LWC458721:LWE458721 MFY458721:MGA458721 MPU458721:MPW458721 MZQ458721:MZS458721 NJM458721:NJO458721 NTI458721:NTK458721 ODE458721:ODG458721 ONA458721:ONC458721 OWW458721:OWY458721 PGS458721:PGU458721 PQO458721:PQQ458721 QAK458721:QAM458721 QKG458721:QKI458721 QUC458721:QUE458721 RDY458721:REA458721 RNU458721:RNW458721 RXQ458721:RXS458721 SHM458721:SHO458721 SRI458721:SRK458721 TBE458721:TBG458721 TLA458721:TLC458721 TUW458721:TUY458721 UES458721:UEU458721 UOO458721:UOQ458721 UYK458721:UYM458721 VIG458721:VII458721 VSC458721:VSE458721 WBY458721:WCA458721 WLU458721:WLW458721 WVQ458721:WVS458721 H458732:N458732 JE524257:JG524257 TA524257:TC524257 ACW524257:ACY524257 AMS524257:AMU524257 AWO524257:AWQ524257 BGK524257:BGM524257 BQG524257:BQI524257 CAC524257:CAE524257 CJY524257:CKA524257 CTU524257:CTW524257 DDQ524257:DDS524257 DNM524257:DNO524257 DXI524257:DXK524257 EHE524257:EHG524257 ERA524257:ERC524257 FAW524257:FAY524257 FKS524257:FKU524257 FUO524257:FUQ524257 GEK524257:GEM524257 GOG524257:GOI524257 GYC524257:GYE524257 HHY524257:HIA524257 HRU524257:HRW524257 IBQ524257:IBS524257 ILM524257:ILO524257 IVI524257:IVK524257 JFE524257:JFG524257 JPA524257:JPC524257 JYW524257:JYY524257 KIS524257:KIU524257 KSO524257:KSQ524257 LCK524257:LCM524257 LMG524257:LMI524257 LWC524257:LWE524257 MFY524257:MGA524257 MPU524257:MPW524257 MZQ524257:MZS524257 NJM524257:NJO524257 NTI524257:NTK524257 ODE524257:ODG524257 ONA524257:ONC524257 OWW524257:OWY524257 PGS524257:PGU524257 PQO524257:PQQ524257 QAK524257:QAM524257 QKG524257:QKI524257 QUC524257:QUE524257 RDY524257:REA524257 RNU524257:RNW524257 RXQ524257:RXS524257 SHM524257:SHO524257 SRI524257:SRK524257 TBE524257:TBG524257 TLA524257:TLC524257 TUW524257:TUY524257 UES524257:UEU524257 UOO524257:UOQ524257 UYK524257:UYM524257 VIG524257:VII524257 VSC524257:VSE524257 WBY524257:WCA524257 WLU524257:WLW524257 WVQ524257:WVS524257 H524268:N524268 JE589793:JG589793 TA589793:TC589793 ACW589793:ACY589793 AMS589793:AMU589793 AWO589793:AWQ589793 BGK589793:BGM589793 BQG589793:BQI589793 CAC589793:CAE589793 CJY589793:CKA589793 CTU589793:CTW589793 DDQ589793:DDS589793 DNM589793:DNO589793 DXI589793:DXK589793 EHE589793:EHG589793 ERA589793:ERC589793 FAW589793:FAY589793 FKS589793:FKU589793 FUO589793:FUQ589793 GEK589793:GEM589793 GOG589793:GOI589793 GYC589793:GYE589793 HHY589793:HIA589793 HRU589793:HRW589793 IBQ589793:IBS589793 ILM589793:ILO589793 IVI589793:IVK589793 JFE589793:JFG589793 JPA589793:JPC589793 JYW589793:JYY589793 KIS589793:KIU589793 KSO589793:KSQ589793 LCK589793:LCM589793 LMG589793:LMI589793 LWC589793:LWE589793 MFY589793:MGA589793 MPU589793:MPW589793 MZQ589793:MZS589793 NJM589793:NJO589793 NTI589793:NTK589793 ODE589793:ODG589793 ONA589793:ONC589793 OWW589793:OWY589793 PGS589793:PGU589793 PQO589793:PQQ589793 QAK589793:QAM589793 QKG589793:QKI589793 QUC589793:QUE589793 RDY589793:REA589793 RNU589793:RNW589793 RXQ589793:RXS589793 SHM589793:SHO589793 SRI589793:SRK589793 TBE589793:TBG589793 TLA589793:TLC589793 TUW589793:TUY589793 UES589793:UEU589793 UOO589793:UOQ589793 UYK589793:UYM589793 VIG589793:VII589793 VSC589793:VSE589793 WBY589793:WCA589793 WLU589793:WLW589793 WVQ589793:WVS589793 H589804:N589804 JE655329:JG655329 TA655329:TC655329 ACW655329:ACY655329 AMS655329:AMU655329 AWO655329:AWQ655329 BGK655329:BGM655329 BQG655329:BQI655329 CAC655329:CAE655329 CJY655329:CKA655329 CTU655329:CTW655329 DDQ655329:DDS655329 DNM655329:DNO655329 DXI655329:DXK655329 EHE655329:EHG655329 ERA655329:ERC655329 FAW655329:FAY655329 FKS655329:FKU655329 FUO655329:FUQ655329 GEK655329:GEM655329 GOG655329:GOI655329 GYC655329:GYE655329 HHY655329:HIA655329 HRU655329:HRW655329 IBQ655329:IBS655329 ILM655329:ILO655329 IVI655329:IVK655329 JFE655329:JFG655329 JPA655329:JPC655329 JYW655329:JYY655329 KIS655329:KIU655329 KSO655329:KSQ655329 LCK655329:LCM655329 LMG655329:LMI655329 LWC655329:LWE655329 MFY655329:MGA655329 MPU655329:MPW655329 MZQ655329:MZS655329 NJM655329:NJO655329 NTI655329:NTK655329 ODE655329:ODG655329 ONA655329:ONC655329 OWW655329:OWY655329 PGS655329:PGU655329 PQO655329:PQQ655329 QAK655329:QAM655329 QKG655329:QKI655329 QUC655329:QUE655329 RDY655329:REA655329 RNU655329:RNW655329 RXQ655329:RXS655329 SHM655329:SHO655329 SRI655329:SRK655329 TBE655329:TBG655329 TLA655329:TLC655329 TUW655329:TUY655329 UES655329:UEU655329 UOO655329:UOQ655329 UYK655329:UYM655329 VIG655329:VII655329 VSC655329:VSE655329 WBY655329:WCA655329 WLU655329:WLW655329 WVQ655329:WVS655329 H655340:N655340 JE720865:JG720865 TA720865:TC720865 ACW720865:ACY720865 AMS720865:AMU720865 AWO720865:AWQ720865 BGK720865:BGM720865 BQG720865:BQI720865 CAC720865:CAE720865 CJY720865:CKA720865 CTU720865:CTW720865 DDQ720865:DDS720865 DNM720865:DNO720865 DXI720865:DXK720865 EHE720865:EHG720865 ERA720865:ERC720865 FAW720865:FAY720865 FKS720865:FKU720865 FUO720865:FUQ720865 GEK720865:GEM720865 GOG720865:GOI720865 GYC720865:GYE720865 HHY720865:HIA720865 HRU720865:HRW720865 IBQ720865:IBS720865 ILM720865:ILO720865 IVI720865:IVK720865 JFE720865:JFG720865 JPA720865:JPC720865 JYW720865:JYY720865 KIS720865:KIU720865 KSO720865:KSQ720865 LCK720865:LCM720865 LMG720865:LMI720865 LWC720865:LWE720865 MFY720865:MGA720865 MPU720865:MPW720865 MZQ720865:MZS720865 NJM720865:NJO720865 NTI720865:NTK720865 ODE720865:ODG720865 ONA720865:ONC720865 OWW720865:OWY720865 PGS720865:PGU720865 PQO720865:PQQ720865 QAK720865:QAM720865 QKG720865:QKI720865 QUC720865:QUE720865 RDY720865:REA720865 RNU720865:RNW720865 RXQ720865:RXS720865 SHM720865:SHO720865 SRI720865:SRK720865 TBE720865:TBG720865 TLA720865:TLC720865 TUW720865:TUY720865 UES720865:UEU720865 UOO720865:UOQ720865 UYK720865:UYM720865 VIG720865:VII720865 VSC720865:VSE720865 WBY720865:WCA720865 WLU720865:WLW720865 WVQ720865:WVS720865 H720876:N720876 JE786401:JG786401 TA786401:TC786401 ACW786401:ACY786401 AMS786401:AMU786401 AWO786401:AWQ786401 BGK786401:BGM786401 BQG786401:BQI786401 CAC786401:CAE786401 CJY786401:CKA786401 CTU786401:CTW786401 DDQ786401:DDS786401 DNM786401:DNO786401 DXI786401:DXK786401 EHE786401:EHG786401 ERA786401:ERC786401 FAW786401:FAY786401 FKS786401:FKU786401 FUO786401:FUQ786401 GEK786401:GEM786401 GOG786401:GOI786401 GYC786401:GYE786401 HHY786401:HIA786401 HRU786401:HRW786401 IBQ786401:IBS786401 ILM786401:ILO786401 IVI786401:IVK786401 JFE786401:JFG786401 JPA786401:JPC786401 JYW786401:JYY786401 KIS786401:KIU786401 KSO786401:KSQ786401 LCK786401:LCM786401 LMG786401:LMI786401 LWC786401:LWE786401 MFY786401:MGA786401 MPU786401:MPW786401 MZQ786401:MZS786401 NJM786401:NJO786401 NTI786401:NTK786401 ODE786401:ODG786401 ONA786401:ONC786401 OWW786401:OWY786401 PGS786401:PGU786401 PQO786401:PQQ786401 QAK786401:QAM786401 QKG786401:QKI786401 QUC786401:QUE786401 RDY786401:REA786401 RNU786401:RNW786401 RXQ786401:RXS786401 SHM786401:SHO786401 SRI786401:SRK786401 TBE786401:TBG786401 TLA786401:TLC786401 TUW786401:TUY786401 UES786401:UEU786401 UOO786401:UOQ786401 UYK786401:UYM786401 VIG786401:VII786401 VSC786401:VSE786401 WBY786401:WCA786401 WLU786401:WLW786401 WVQ786401:WVS786401 H786412:N786412 JE851937:JG851937 TA851937:TC851937 ACW851937:ACY851937 AMS851937:AMU851937 AWO851937:AWQ851937 BGK851937:BGM851937 BQG851937:BQI851937 CAC851937:CAE851937 CJY851937:CKA851937 CTU851937:CTW851937 DDQ851937:DDS851937 DNM851937:DNO851937 DXI851937:DXK851937 EHE851937:EHG851937 ERA851937:ERC851937 FAW851937:FAY851937 FKS851937:FKU851937 FUO851937:FUQ851937 GEK851937:GEM851937 GOG851937:GOI851937 GYC851937:GYE851937 HHY851937:HIA851937 HRU851937:HRW851937 IBQ851937:IBS851937 ILM851937:ILO851937 IVI851937:IVK851937 JFE851937:JFG851937 JPA851937:JPC851937 JYW851937:JYY851937 KIS851937:KIU851937 KSO851937:KSQ851937 LCK851937:LCM851937 LMG851937:LMI851937 LWC851937:LWE851937 MFY851937:MGA851937 MPU851937:MPW851937 MZQ851937:MZS851937 NJM851937:NJO851937 NTI851937:NTK851937 ODE851937:ODG851937 ONA851937:ONC851937 OWW851937:OWY851937 PGS851937:PGU851937 PQO851937:PQQ851937 QAK851937:QAM851937 QKG851937:QKI851937 QUC851937:QUE851937 RDY851937:REA851937 RNU851937:RNW851937 RXQ851937:RXS851937 SHM851937:SHO851937 SRI851937:SRK851937 TBE851937:TBG851937 TLA851937:TLC851937 TUW851937:TUY851937 UES851937:UEU851937 UOO851937:UOQ851937 UYK851937:UYM851937 VIG851937:VII851937 VSC851937:VSE851937 WBY851937:WCA851937 WLU851937:WLW851937 WVQ851937:WVS851937 H851948:N851948 JE917473:JG917473 TA917473:TC917473 ACW917473:ACY917473 AMS917473:AMU917473 AWO917473:AWQ917473 BGK917473:BGM917473 BQG917473:BQI917473 CAC917473:CAE917473 CJY917473:CKA917473 CTU917473:CTW917473 DDQ917473:DDS917473 DNM917473:DNO917473 DXI917473:DXK917473 EHE917473:EHG917473 ERA917473:ERC917473 FAW917473:FAY917473 FKS917473:FKU917473 FUO917473:FUQ917473 GEK917473:GEM917473 GOG917473:GOI917473 GYC917473:GYE917473 HHY917473:HIA917473 HRU917473:HRW917473 IBQ917473:IBS917473 ILM917473:ILO917473 IVI917473:IVK917473 JFE917473:JFG917473 JPA917473:JPC917473 JYW917473:JYY917473 KIS917473:KIU917473 KSO917473:KSQ917473 LCK917473:LCM917473 LMG917473:LMI917473 LWC917473:LWE917473 MFY917473:MGA917473 MPU917473:MPW917473 MZQ917473:MZS917473 NJM917473:NJO917473 NTI917473:NTK917473 ODE917473:ODG917473 ONA917473:ONC917473 OWW917473:OWY917473 PGS917473:PGU917473 PQO917473:PQQ917473 QAK917473:QAM917473 QKG917473:QKI917473 QUC917473:QUE917473 RDY917473:REA917473 RNU917473:RNW917473 RXQ917473:RXS917473 SHM917473:SHO917473 SRI917473:SRK917473 TBE917473:TBG917473 TLA917473:TLC917473 TUW917473:TUY917473 UES917473:UEU917473 UOO917473:UOQ917473 UYK917473:UYM917473 VIG917473:VII917473 VSC917473:VSE917473 WBY917473:WCA917473 WLU917473:WLW917473 WVQ917473:WVS917473 H917484:N917484 JE983009:JG983009 TA983009:TC983009 ACW983009:ACY983009 AMS983009:AMU983009 AWO983009:AWQ983009 BGK983009:BGM983009 BQG983009:BQI983009 CAC983009:CAE983009 CJY983009:CKA983009 CTU983009:CTW983009 DDQ983009:DDS983009 DNM983009:DNO983009 DXI983009:DXK983009 EHE983009:EHG983009 ERA983009:ERC983009 FAW983009:FAY983009 FKS983009:FKU983009 FUO983009:FUQ983009 GEK983009:GEM983009 GOG983009:GOI983009 GYC983009:GYE983009 HHY983009:HIA983009 HRU983009:HRW983009 IBQ983009:IBS983009 ILM983009:ILO983009 IVI983009:IVK983009 JFE983009:JFG983009 JPA983009:JPC983009 JYW983009:JYY983009 KIS983009:KIU983009 KSO983009:KSQ983009 LCK983009:LCM983009 LMG983009:LMI983009 LWC983009:LWE983009 MFY983009:MGA983009 MPU983009:MPW983009 MZQ983009:MZS983009 NJM983009:NJO983009 NTI983009:NTK983009 ODE983009:ODG983009 ONA983009:ONC983009 OWW983009:OWY983009 PGS983009:PGU983009 PQO983009:PQQ983009 QAK983009:QAM983009 QKG983009:QKI983009 QUC983009:QUE983009 RDY983009:REA983009 RNU983009:RNW983009 RXQ983009:RXS983009 SHM983009:SHO983009 SRI983009:SRK983009 TBE983009:TBG983009 TLA983009:TLC983009 TUW983009:TUY983009 UES983009:UEU983009 UOO983009:UOQ983009 UYK983009:UYM983009 VIG983009:VII983009 VSC983009:VSE983009 WBY983009:WCA983009 WLU983009:WLW983009 WVQ983009:WVS983009 H983020:N983020">
      <formula1>"数字城管,权力阳光,政府信息化,平安城市,园区智能化,其它"</formula1>
    </dataValidation>
    <dataValidation type="list" allowBlank="1" showInputMessage="1" showErrorMessage="1" sqref="JI2:JJ2 TE2:TF2 ADA2:ADB2 AMW2:AMX2 AWS2:AWT2 BGO2:BGP2 BQK2:BQL2 CAG2:CAH2 CKC2:CKD2 CTY2:CTZ2 DDU2:DDV2 DNQ2:DNR2 DXM2:DXN2 EHI2:EHJ2 ERE2:ERF2 FBA2:FBB2 FKW2:FKX2 FUS2:FUT2 GEO2:GEP2 GOK2:GOL2 GYG2:GYH2 HIC2:HID2 HRY2:HRZ2 IBU2:IBV2 ILQ2:ILR2 IVM2:IVN2 JFI2:JFJ2 JPE2:JPF2 JZA2:JZB2 KIW2:KIX2 KSS2:KST2 LCO2:LCP2 LMK2:LML2 LWG2:LWH2 MGC2:MGD2 MPY2:MPZ2 MZU2:MZV2 NJQ2:NJR2 NTM2:NTN2 ODI2:ODJ2 ONE2:ONF2 OXA2:OXB2 PGW2:PGX2 PQS2:PQT2 QAO2:QAP2 QKK2:QKL2 QUG2:QUH2 REC2:RED2 RNY2:RNZ2 RXU2:RXV2 SHQ2:SHR2 SRM2:SRN2 TBI2:TBJ2 TLE2:TLF2 TVA2:TVB2 UEW2:UEX2 UOS2:UOT2 UYO2:UYP2 VIK2:VIL2 VSG2:VSH2 WCC2:WCD2 WLY2:WLZ2 WVU2:WVV2 JI65505:JJ65505 TE65505:TF65505 ADA65505:ADB65505 AMW65505:AMX65505 AWS65505:AWT65505 BGO65505:BGP65505 BQK65505:BQL65505 CAG65505:CAH65505 CKC65505:CKD65505 CTY65505:CTZ65505 DDU65505:DDV65505 DNQ65505:DNR65505 DXM65505:DXN65505 EHI65505:EHJ65505 ERE65505:ERF65505 FBA65505:FBB65505 FKW65505:FKX65505 FUS65505:FUT65505 GEO65505:GEP65505 GOK65505:GOL65505 GYG65505:GYH65505 HIC65505:HID65505 HRY65505:HRZ65505 IBU65505:IBV65505 ILQ65505:ILR65505 IVM65505:IVN65505 JFI65505:JFJ65505 JPE65505:JPF65505 JZA65505:JZB65505 KIW65505:KIX65505 KSS65505:KST65505 LCO65505:LCP65505 LMK65505:LML65505 LWG65505:LWH65505 MGC65505:MGD65505 MPY65505:MPZ65505 MZU65505:MZV65505 NJQ65505:NJR65505 NTM65505:NTN65505 ODI65505:ODJ65505 ONE65505:ONF65505 OXA65505:OXB65505 PGW65505:PGX65505 PQS65505:PQT65505 QAO65505:QAP65505 QKK65505:QKL65505 QUG65505:QUH65505 REC65505:RED65505 RNY65505:RNZ65505 RXU65505:RXV65505 SHQ65505:SHR65505 SRM65505:SRN65505 TBI65505:TBJ65505 TLE65505:TLF65505 TVA65505:TVB65505 UEW65505:UEX65505 UOS65505:UOT65505 UYO65505:UYP65505 VIK65505:VIL65505 VSG65505:VSH65505 WCC65505:WCD65505 WLY65505:WLZ65505 WVU65505:WVV65505 O65516:P65516 JI131041:JJ131041 TE131041:TF131041 ADA131041:ADB131041 AMW131041:AMX131041 AWS131041:AWT131041 BGO131041:BGP131041 BQK131041:BQL131041 CAG131041:CAH131041 CKC131041:CKD131041 CTY131041:CTZ131041 DDU131041:DDV131041 DNQ131041:DNR131041 DXM131041:DXN131041 EHI131041:EHJ131041 ERE131041:ERF131041 FBA131041:FBB131041 FKW131041:FKX131041 FUS131041:FUT131041 GEO131041:GEP131041 GOK131041:GOL131041 GYG131041:GYH131041 HIC131041:HID131041 HRY131041:HRZ131041 IBU131041:IBV131041 ILQ131041:ILR131041 IVM131041:IVN131041 JFI131041:JFJ131041 JPE131041:JPF131041 JZA131041:JZB131041 KIW131041:KIX131041 KSS131041:KST131041 LCO131041:LCP131041 LMK131041:LML131041 LWG131041:LWH131041 MGC131041:MGD131041 MPY131041:MPZ131041 MZU131041:MZV131041 NJQ131041:NJR131041 NTM131041:NTN131041 ODI131041:ODJ131041 ONE131041:ONF131041 OXA131041:OXB131041 PGW131041:PGX131041 PQS131041:PQT131041 QAO131041:QAP131041 QKK131041:QKL131041 QUG131041:QUH131041 REC131041:RED131041 RNY131041:RNZ131041 RXU131041:RXV131041 SHQ131041:SHR131041 SRM131041:SRN131041 TBI131041:TBJ131041 TLE131041:TLF131041 TVA131041:TVB131041 UEW131041:UEX131041 UOS131041:UOT131041 UYO131041:UYP131041 VIK131041:VIL131041 VSG131041:VSH131041 WCC131041:WCD131041 WLY131041:WLZ131041 WVU131041:WVV131041 O131052:P131052 JI196577:JJ196577 TE196577:TF196577 ADA196577:ADB196577 AMW196577:AMX196577 AWS196577:AWT196577 BGO196577:BGP196577 BQK196577:BQL196577 CAG196577:CAH196577 CKC196577:CKD196577 CTY196577:CTZ196577 DDU196577:DDV196577 DNQ196577:DNR196577 DXM196577:DXN196577 EHI196577:EHJ196577 ERE196577:ERF196577 FBA196577:FBB196577 FKW196577:FKX196577 FUS196577:FUT196577 GEO196577:GEP196577 GOK196577:GOL196577 GYG196577:GYH196577 HIC196577:HID196577 HRY196577:HRZ196577 IBU196577:IBV196577 ILQ196577:ILR196577 IVM196577:IVN196577 JFI196577:JFJ196577 JPE196577:JPF196577 JZA196577:JZB196577 KIW196577:KIX196577 KSS196577:KST196577 LCO196577:LCP196577 LMK196577:LML196577 LWG196577:LWH196577 MGC196577:MGD196577 MPY196577:MPZ196577 MZU196577:MZV196577 NJQ196577:NJR196577 NTM196577:NTN196577 ODI196577:ODJ196577 ONE196577:ONF196577 OXA196577:OXB196577 PGW196577:PGX196577 PQS196577:PQT196577 QAO196577:QAP196577 QKK196577:QKL196577 QUG196577:QUH196577 REC196577:RED196577 RNY196577:RNZ196577 RXU196577:RXV196577 SHQ196577:SHR196577 SRM196577:SRN196577 TBI196577:TBJ196577 TLE196577:TLF196577 TVA196577:TVB196577 UEW196577:UEX196577 UOS196577:UOT196577 UYO196577:UYP196577 VIK196577:VIL196577 VSG196577:VSH196577 WCC196577:WCD196577 WLY196577:WLZ196577 WVU196577:WVV196577 O196588:P196588 JI262113:JJ262113 TE262113:TF262113 ADA262113:ADB262113 AMW262113:AMX262113 AWS262113:AWT262113 BGO262113:BGP262113 BQK262113:BQL262113 CAG262113:CAH262113 CKC262113:CKD262113 CTY262113:CTZ262113 DDU262113:DDV262113 DNQ262113:DNR262113 DXM262113:DXN262113 EHI262113:EHJ262113 ERE262113:ERF262113 FBA262113:FBB262113 FKW262113:FKX262113 FUS262113:FUT262113 GEO262113:GEP262113 GOK262113:GOL262113 GYG262113:GYH262113 HIC262113:HID262113 HRY262113:HRZ262113 IBU262113:IBV262113 ILQ262113:ILR262113 IVM262113:IVN262113 JFI262113:JFJ262113 JPE262113:JPF262113 JZA262113:JZB262113 KIW262113:KIX262113 KSS262113:KST262113 LCO262113:LCP262113 LMK262113:LML262113 LWG262113:LWH262113 MGC262113:MGD262113 MPY262113:MPZ262113 MZU262113:MZV262113 NJQ262113:NJR262113 NTM262113:NTN262113 ODI262113:ODJ262113 ONE262113:ONF262113 OXA262113:OXB262113 PGW262113:PGX262113 PQS262113:PQT262113 QAO262113:QAP262113 QKK262113:QKL262113 QUG262113:QUH262113 REC262113:RED262113 RNY262113:RNZ262113 RXU262113:RXV262113 SHQ262113:SHR262113 SRM262113:SRN262113 TBI262113:TBJ262113 TLE262113:TLF262113 TVA262113:TVB262113 UEW262113:UEX262113 UOS262113:UOT262113 UYO262113:UYP262113 VIK262113:VIL262113 VSG262113:VSH262113 WCC262113:WCD262113 WLY262113:WLZ262113 WVU262113:WVV262113 O262124:P262124 JI327649:JJ327649 TE327649:TF327649 ADA327649:ADB327649 AMW327649:AMX327649 AWS327649:AWT327649 BGO327649:BGP327649 BQK327649:BQL327649 CAG327649:CAH327649 CKC327649:CKD327649 CTY327649:CTZ327649 DDU327649:DDV327649 DNQ327649:DNR327649 DXM327649:DXN327649 EHI327649:EHJ327649 ERE327649:ERF327649 FBA327649:FBB327649 FKW327649:FKX327649 FUS327649:FUT327649 GEO327649:GEP327649 GOK327649:GOL327649 GYG327649:GYH327649 HIC327649:HID327649 HRY327649:HRZ327649 IBU327649:IBV327649 ILQ327649:ILR327649 IVM327649:IVN327649 JFI327649:JFJ327649 JPE327649:JPF327649 JZA327649:JZB327649 KIW327649:KIX327649 KSS327649:KST327649 LCO327649:LCP327649 LMK327649:LML327649 LWG327649:LWH327649 MGC327649:MGD327649 MPY327649:MPZ327649 MZU327649:MZV327649 NJQ327649:NJR327649 NTM327649:NTN327649 ODI327649:ODJ327649 ONE327649:ONF327649 OXA327649:OXB327649 PGW327649:PGX327649 PQS327649:PQT327649 QAO327649:QAP327649 QKK327649:QKL327649 QUG327649:QUH327649 REC327649:RED327649 RNY327649:RNZ327649 RXU327649:RXV327649 SHQ327649:SHR327649 SRM327649:SRN327649 TBI327649:TBJ327649 TLE327649:TLF327649 TVA327649:TVB327649 UEW327649:UEX327649 UOS327649:UOT327649 UYO327649:UYP327649 VIK327649:VIL327649 VSG327649:VSH327649 WCC327649:WCD327649 WLY327649:WLZ327649 WVU327649:WVV327649 O327660:P327660 JI393185:JJ393185 TE393185:TF393185 ADA393185:ADB393185 AMW393185:AMX393185 AWS393185:AWT393185 BGO393185:BGP393185 BQK393185:BQL393185 CAG393185:CAH393185 CKC393185:CKD393185 CTY393185:CTZ393185 DDU393185:DDV393185 DNQ393185:DNR393185 DXM393185:DXN393185 EHI393185:EHJ393185 ERE393185:ERF393185 FBA393185:FBB393185 FKW393185:FKX393185 FUS393185:FUT393185 GEO393185:GEP393185 GOK393185:GOL393185 GYG393185:GYH393185 HIC393185:HID393185 HRY393185:HRZ393185 IBU393185:IBV393185 ILQ393185:ILR393185 IVM393185:IVN393185 JFI393185:JFJ393185 JPE393185:JPF393185 JZA393185:JZB393185 KIW393185:KIX393185 KSS393185:KST393185 LCO393185:LCP393185 LMK393185:LML393185 LWG393185:LWH393185 MGC393185:MGD393185 MPY393185:MPZ393185 MZU393185:MZV393185 NJQ393185:NJR393185 NTM393185:NTN393185 ODI393185:ODJ393185 ONE393185:ONF393185 OXA393185:OXB393185 PGW393185:PGX393185 PQS393185:PQT393185 QAO393185:QAP393185 QKK393185:QKL393185 QUG393185:QUH393185 REC393185:RED393185 RNY393185:RNZ393185 RXU393185:RXV393185 SHQ393185:SHR393185 SRM393185:SRN393185 TBI393185:TBJ393185 TLE393185:TLF393185 TVA393185:TVB393185 UEW393185:UEX393185 UOS393185:UOT393185 UYO393185:UYP393185 VIK393185:VIL393185 VSG393185:VSH393185 WCC393185:WCD393185 WLY393185:WLZ393185 WVU393185:WVV393185 O393196:P393196 JI458721:JJ458721 TE458721:TF458721 ADA458721:ADB458721 AMW458721:AMX458721 AWS458721:AWT458721 BGO458721:BGP458721 BQK458721:BQL458721 CAG458721:CAH458721 CKC458721:CKD458721 CTY458721:CTZ458721 DDU458721:DDV458721 DNQ458721:DNR458721 DXM458721:DXN458721 EHI458721:EHJ458721 ERE458721:ERF458721 FBA458721:FBB458721 FKW458721:FKX458721 FUS458721:FUT458721 GEO458721:GEP458721 GOK458721:GOL458721 GYG458721:GYH458721 HIC458721:HID458721 HRY458721:HRZ458721 IBU458721:IBV458721 ILQ458721:ILR458721 IVM458721:IVN458721 JFI458721:JFJ458721 JPE458721:JPF458721 JZA458721:JZB458721 KIW458721:KIX458721 KSS458721:KST458721 LCO458721:LCP458721 LMK458721:LML458721 LWG458721:LWH458721 MGC458721:MGD458721 MPY458721:MPZ458721 MZU458721:MZV458721 NJQ458721:NJR458721 NTM458721:NTN458721 ODI458721:ODJ458721 ONE458721:ONF458721 OXA458721:OXB458721 PGW458721:PGX458721 PQS458721:PQT458721 QAO458721:QAP458721 QKK458721:QKL458721 QUG458721:QUH458721 REC458721:RED458721 RNY458721:RNZ458721 RXU458721:RXV458721 SHQ458721:SHR458721 SRM458721:SRN458721 TBI458721:TBJ458721 TLE458721:TLF458721 TVA458721:TVB458721 UEW458721:UEX458721 UOS458721:UOT458721 UYO458721:UYP458721 VIK458721:VIL458721 VSG458721:VSH458721 WCC458721:WCD458721 WLY458721:WLZ458721 WVU458721:WVV458721 O458732:P458732 JI524257:JJ524257 TE524257:TF524257 ADA524257:ADB524257 AMW524257:AMX524257 AWS524257:AWT524257 BGO524257:BGP524257 BQK524257:BQL524257 CAG524257:CAH524257 CKC524257:CKD524257 CTY524257:CTZ524257 DDU524257:DDV524257 DNQ524257:DNR524257 DXM524257:DXN524257 EHI524257:EHJ524257 ERE524257:ERF524257 FBA524257:FBB524257 FKW524257:FKX524257 FUS524257:FUT524257 GEO524257:GEP524257 GOK524257:GOL524257 GYG524257:GYH524257 HIC524257:HID524257 HRY524257:HRZ524257 IBU524257:IBV524257 ILQ524257:ILR524257 IVM524257:IVN524257 JFI524257:JFJ524257 JPE524257:JPF524257 JZA524257:JZB524257 KIW524257:KIX524257 KSS524257:KST524257 LCO524257:LCP524257 LMK524257:LML524257 LWG524257:LWH524257 MGC524257:MGD524257 MPY524257:MPZ524257 MZU524257:MZV524257 NJQ524257:NJR524257 NTM524257:NTN524257 ODI524257:ODJ524257 ONE524257:ONF524257 OXA524257:OXB524257 PGW524257:PGX524257 PQS524257:PQT524257 QAO524257:QAP524257 QKK524257:QKL524257 QUG524257:QUH524257 REC524257:RED524257 RNY524257:RNZ524257 RXU524257:RXV524257 SHQ524257:SHR524257 SRM524257:SRN524257 TBI524257:TBJ524257 TLE524257:TLF524257 TVA524257:TVB524257 UEW524257:UEX524257 UOS524257:UOT524257 UYO524257:UYP524257 VIK524257:VIL524257 VSG524257:VSH524257 WCC524257:WCD524257 WLY524257:WLZ524257 WVU524257:WVV524257 O524268:P524268 JI589793:JJ589793 TE589793:TF589793 ADA589793:ADB589793 AMW589793:AMX589793 AWS589793:AWT589793 BGO589793:BGP589793 BQK589793:BQL589793 CAG589793:CAH589793 CKC589793:CKD589793 CTY589793:CTZ589793 DDU589793:DDV589793 DNQ589793:DNR589793 DXM589793:DXN589793 EHI589793:EHJ589793 ERE589793:ERF589793 FBA589793:FBB589793 FKW589793:FKX589793 FUS589793:FUT589793 GEO589793:GEP589793 GOK589793:GOL589793 GYG589793:GYH589793 HIC589793:HID589793 HRY589793:HRZ589793 IBU589793:IBV589793 ILQ589793:ILR589793 IVM589793:IVN589793 JFI589793:JFJ589793 JPE589793:JPF589793 JZA589793:JZB589793 KIW589793:KIX589793 KSS589793:KST589793 LCO589793:LCP589793 LMK589793:LML589793 LWG589793:LWH589793 MGC589793:MGD589793 MPY589793:MPZ589793 MZU589793:MZV589793 NJQ589793:NJR589793 NTM589793:NTN589793 ODI589793:ODJ589793 ONE589793:ONF589793 OXA589793:OXB589793 PGW589793:PGX589793 PQS589793:PQT589793 QAO589793:QAP589793 QKK589793:QKL589793 QUG589793:QUH589793 REC589793:RED589793 RNY589793:RNZ589793 RXU589793:RXV589793 SHQ589793:SHR589793 SRM589793:SRN589793 TBI589793:TBJ589793 TLE589793:TLF589793 TVA589793:TVB589793 UEW589793:UEX589793 UOS589793:UOT589793 UYO589793:UYP589793 VIK589793:VIL589793 VSG589793:VSH589793 WCC589793:WCD589793 WLY589793:WLZ589793 WVU589793:WVV589793 O589804:P589804 JI655329:JJ655329 TE655329:TF655329 ADA655329:ADB655329 AMW655329:AMX655329 AWS655329:AWT655329 BGO655329:BGP655329 BQK655329:BQL655329 CAG655329:CAH655329 CKC655329:CKD655329 CTY655329:CTZ655329 DDU655329:DDV655329 DNQ655329:DNR655329 DXM655329:DXN655329 EHI655329:EHJ655329 ERE655329:ERF655329 FBA655329:FBB655329 FKW655329:FKX655329 FUS655329:FUT655329 GEO655329:GEP655329 GOK655329:GOL655329 GYG655329:GYH655329 HIC655329:HID655329 HRY655329:HRZ655329 IBU655329:IBV655329 ILQ655329:ILR655329 IVM655329:IVN655329 JFI655329:JFJ655329 JPE655329:JPF655329 JZA655329:JZB655329 KIW655329:KIX655329 KSS655329:KST655329 LCO655329:LCP655329 LMK655329:LML655329 LWG655329:LWH655329 MGC655329:MGD655329 MPY655329:MPZ655329 MZU655329:MZV655329 NJQ655329:NJR655329 NTM655329:NTN655329 ODI655329:ODJ655329 ONE655329:ONF655329 OXA655329:OXB655329 PGW655329:PGX655329 PQS655329:PQT655329 QAO655329:QAP655329 QKK655329:QKL655329 QUG655329:QUH655329 REC655329:RED655329 RNY655329:RNZ655329 RXU655329:RXV655329 SHQ655329:SHR655329 SRM655329:SRN655329 TBI655329:TBJ655329 TLE655329:TLF655329 TVA655329:TVB655329 UEW655329:UEX655329 UOS655329:UOT655329 UYO655329:UYP655329 VIK655329:VIL655329 VSG655329:VSH655329 WCC655329:WCD655329 WLY655329:WLZ655329 WVU655329:WVV655329 O655340:P655340 JI720865:JJ720865 TE720865:TF720865 ADA720865:ADB720865 AMW720865:AMX720865 AWS720865:AWT720865 BGO720865:BGP720865 BQK720865:BQL720865 CAG720865:CAH720865 CKC720865:CKD720865 CTY720865:CTZ720865 DDU720865:DDV720865 DNQ720865:DNR720865 DXM720865:DXN720865 EHI720865:EHJ720865 ERE720865:ERF720865 FBA720865:FBB720865 FKW720865:FKX720865 FUS720865:FUT720865 GEO720865:GEP720865 GOK720865:GOL720865 GYG720865:GYH720865 HIC720865:HID720865 HRY720865:HRZ720865 IBU720865:IBV720865 ILQ720865:ILR720865 IVM720865:IVN720865 JFI720865:JFJ720865 JPE720865:JPF720865 JZA720865:JZB720865 KIW720865:KIX720865 KSS720865:KST720865 LCO720865:LCP720865 LMK720865:LML720865 LWG720865:LWH720865 MGC720865:MGD720865 MPY720865:MPZ720865 MZU720865:MZV720865 NJQ720865:NJR720865 NTM720865:NTN720865 ODI720865:ODJ720865 ONE720865:ONF720865 OXA720865:OXB720865 PGW720865:PGX720865 PQS720865:PQT720865 QAO720865:QAP720865 QKK720865:QKL720865 QUG720865:QUH720865 REC720865:RED720865 RNY720865:RNZ720865 RXU720865:RXV720865 SHQ720865:SHR720865 SRM720865:SRN720865 TBI720865:TBJ720865 TLE720865:TLF720865 TVA720865:TVB720865 UEW720865:UEX720865 UOS720865:UOT720865 UYO720865:UYP720865 VIK720865:VIL720865 VSG720865:VSH720865 WCC720865:WCD720865 WLY720865:WLZ720865 WVU720865:WVV720865 O720876:P720876 JI786401:JJ786401 TE786401:TF786401 ADA786401:ADB786401 AMW786401:AMX786401 AWS786401:AWT786401 BGO786401:BGP786401 BQK786401:BQL786401 CAG786401:CAH786401 CKC786401:CKD786401 CTY786401:CTZ786401 DDU786401:DDV786401 DNQ786401:DNR786401 DXM786401:DXN786401 EHI786401:EHJ786401 ERE786401:ERF786401 FBA786401:FBB786401 FKW786401:FKX786401 FUS786401:FUT786401 GEO786401:GEP786401 GOK786401:GOL786401 GYG786401:GYH786401 HIC786401:HID786401 HRY786401:HRZ786401 IBU786401:IBV786401 ILQ786401:ILR786401 IVM786401:IVN786401 JFI786401:JFJ786401 JPE786401:JPF786401 JZA786401:JZB786401 KIW786401:KIX786401 KSS786401:KST786401 LCO786401:LCP786401 LMK786401:LML786401 LWG786401:LWH786401 MGC786401:MGD786401 MPY786401:MPZ786401 MZU786401:MZV786401 NJQ786401:NJR786401 NTM786401:NTN786401 ODI786401:ODJ786401 ONE786401:ONF786401 OXA786401:OXB786401 PGW786401:PGX786401 PQS786401:PQT786401 QAO786401:QAP786401 QKK786401:QKL786401 QUG786401:QUH786401 REC786401:RED786401 RNY786401:RNZ786401 RXU786401:RXV786401 SHQ786401:SHR786401 SRM786401:SRN786401 TBI786401:TBJ786401 TLE786401:TLF786401 TVA786401:TVB786401 UEW786401:UEX786401 UOS786401:UOT786401 UYO786401:UYP786401 VIK786401:VIL786401 VSG786401:VSH786401 WCC786401:WCD786401 WLY786401:WLZ786401 WVU786401:WVV786401 O786412:P786412 JI851937:JJ851937 TE851937:TF851937 ADA851937:ADB851937 AMW851937:AMX851937 AWS851937:AWT851937 BGO851937:BGP851937 BQK851937:BQL851937 CAG851937:CAH851937 CKC851937:CKD851937 CTY851937:CTZ851937 DDU851937:DDV851937 DNQ851937:DNR851937 DXM851937:DXN851937 EHI851937:EHJ851937 ERE851937:ERF851937 FBA851937:FBB851937 FKW851937:FKX851937 FUS851937:FUT851937 GEO851937:GEP851937 GOK851937:GOL851937 GYG851937:GYH851937 HIC851937:HID851937 HRY851937:HRZ851937 IBU851937:IBV851937 ILQ851937:ILR851937 IVM851937:IVN851937 JFI851937:JFJ851937 JPE851937:JPF851937 JZA851937:JZB851937 KIW851937:KIX851937 KSS851937:KST851937 LCO851937:LCP851937 LMK851937:LML851937 LWG851937:LWH851937 MGC851937:MGD851937 MPY851937:MPZ851937 MZU851937:MZV851937 NJQ851937:NJR851937 NTM851937:NTN851937 ODI851937:ODJ851937 ONE851937:ONF851937 OXA851937:OXB851937 PGW851937:PGX851937 PQS851937:PQT851937 QAO851937:QAP851937 QKK851937:QKL851937 QUG851937:QUH851937 REC851937:RED851937 RNY851937:RNZ851937 RXU851937:RXV851937 SHQ851937:SHR851937 SRM851937:SRN851937 TBI851937:TBJ851937 TLE851937:TLF851937 TVA851937:TVB851937 UEW851937:UEX851937 UOS851937:UOT851937 UYO851937:UYP851937 VIK851937:VIL851937 VSG851937:VSH851937 WCC851937:WCD851937 WLY851937:WLZ851937 WVU851937:WVV851937 O851948:P851948 JI917473:JJ917473 TE917473:TF917473 ADA917473:ADB917473 AMW917473:AMX917473 AWS917473:AWT917473 BGO917473:BGP917473 BQK917473:BQL917473 CAG917473:CAH917473 CKC917473:CKD917473 CTY917473:CTZ917473 DDU917473:DDV917473 DNQ917473:DNR917473 DXM917473:DXN917473 EHI917473:EHJ917473 ERE917473:ERF917473 FBA917473:FBB917473 FKW917473:FKX917473 FUS917473:FUT917473 GEO917473:GEP917473 GOK917473:GOL917473 GYG917473:GYH917473 HIC917473:HID917473 HRY917473:HRZ917473 IBU917473:IBV917473 ILQ917473:ILR917473 IVM917473:IVN917473 JFI917473:JFJ917473 JPE917473:JPF917473 JZA917473:JZB917473 KIW917473:KIX917473 KSS917473:KST917473 LCO917473:LCP917473 LMK917473:LML917473 LWG917473:LWH917473 MGC917473:MGD917473 MPY917473:MPZ917473 MZU917473:MZV917473 NJQ917473:NJR917473 NTM917473:NTN917473 ODI917473:ODJ917473 ONE917473:ONF917473 OXA917473:OXB917473 PGW917473:PGX917473 PQS917473:PQT917473 QAO917473:QAP917473 QKK917473:QKL917473 QUG917473:QUH917473 REC917473:RED917473 RNY917473:RNZ917473 RXU917473:RXV917473 SHQ917473:SHR917473 SRM917473:SRN917473 TBI917473:TBJ917473 TLE917473:TLF917473 TVA917473:TVB917473 UEW917473:UEX917473 UOS917473:UOT917473 UYO917473:UYP917473 VIK917473:VIL917473 VSG917473:VSH917473 WCC917473:WCD917473 WLY917473:WLZ917473 WVU917473:WVV917473 O917484:P917484 JI983009:JJ983009 TE983009:TF983009 ADA983009:ADB983009 AMW983009:AMX983009 AWS983009:AWT983009 BGO983009:BGP983009 BQK983009:BQL983009 CAG983009:CAH983009 CKC983009:CKD983009 CTY983009:CTZ983009 DDU983009:DDV983009 DNQ983009:DNR983009 DXM983009:DXN983009 EHI983009:EHJ983009 ERE983009:ERF983009 FBA983009:FBB983009 FKW983009:FKX983009 FUS983009:FUT983009 GEO983009:GEP983009 GOK983009:GOL983009 GYG983009:GYH983009 HIC983009:HID983009 HRY983009:HRZ983009 IBU983009:IBV983009 ILQ983009:ILR983009 IVM983009:IVN983009 JFI983009:JFJ983009 JPE983009:JPF983009 JZA983009:JZB983009 KIW983009:KIX983009 KSS983009:KST983009 LCO983009:LCP983009 LMK983009:LML983009 LWG983009:LWH983009 MGC983009:MGD983009 MPY983009:MPZ983009 MZU983009:MZV983009 NJQ983009:NJR983009 NTM983009:NTN983009 ODI983009:ODJ983009 ONE983009:ONF983009 OXA983009:OXB983009 PGW983009:PGX983009 PQS983009:PQT983009 QAO983009:QAP983009 QKK983009:QKL983009 QUG983009:QUH983009 REC983009:RED983009 RNY983009:RNZ983009 RXU983009:RXV983009 SHQ983009:SHR983009 SRM983009:SRN983009 TBI983009:TBJ983009 TLE983009:TLF983009 TVA983009:TVB983009 UEW983009:UEX983009 UOS983009:UOT983009 UYO983009:UYP983009 VIK983009:VIL983009 VSG983009:VSH983009 WCC983009:WCD983009 WLY983009:WLZ983009 WVU983009:WVV983009 O983020:P983020">
      <formula1>"移动公司,业务单位"</formula1>
    </dataValidation>
  </dataValidations>
  <pageMargins left="0.7" right="0.7" top="0.75" bottom="0.75" header="0.3" footer="0.3"/>
  <pageSetup paperSize="9" orientation="portrait"/>
  <headerFooter/>
  <ignoredErrors>
    <ignoredError sqref="E52" formulaRange="1" unlockedFormula="1"/>
    <ignoredError sqref="C50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G22" sqref="G22"/>
    </sheetView>
  </sheetViews>
  <sheetFormatPr defaultColWidth="9" defaultRowHeight="16.8" outlineLevelRow="7"/>
  <cols>
    <col min="1" max="1" width="15" customWidth="1"/>
    <col min="5" max="5" width="9.44230769230769" customWidth="1"/>
  </cols>
  <sheetData>
    <row r="1" ht="20.4" spans="1:9">
      <c r="A1" s="16" t="s">
        <v>211</v>
      </c>
      <c r="B1" s="16"/>
      <c r="C1" s="16"/>
      <c r="D1" s="16"/>
      <c r="E1" s="16"/>
      <c r="F1" s="16"/>
      <c r="G1" s="16"/>
      <c r="H1" s="16"/>
      <c r="I1" s="17"/>
    </row>
    <row r="3" ht="30" customHeight="1" spans="1:9">
      <c r="A3" s="18" t="s">
        <v>212</v>
      </c>
      <c r="B3" s="18" t="s">
        <v>213</v>
      </c>
      <c r="C3" s="18"/>
      <c r="D3" s="19" t="s">
        <v>214</v>
      </c>
      <c r="E3" s="19"/>
      <c r="F3" s="18" t="s">
        <v>215</v>
      </c>
      <c r="G3" s="18"/>
      <c r="H3" s="18" t="s">
        <v>216</v>
      </c>
      <c r="I3" s="18"/>
    </row>
    <row r="4" spans="1:9">
      <c r="A4" s="20" t="s">
        <v>217</v>
      </c>
      <c r="B4" s="21"/>
      <c r="C4" s="21"/>
      <c r="D4" s="21"/>
      <c r="E4" s="21"/>
      <c r="F4" s="21"/>
      <c r="G4" s="21"/>
      <c r="H4" s="21"/>
      <c r="I4" s="21"/>
    </row>
    <row r="5" spans="1:9">
      <c r="A5" s="20" t="s">
        <v>218</v>
      </c>
      <c r="B5" s="21"/>
      <c r="C5" s="21"/>
      <c r="D5" s="21"/>
      <c r="E5" s="21"/>
      <c r="F5" s="21"/>
      <c r="G5" s="21"/>
      <c r="H5" s="21"/>
      <c r="I5" s="21"/>
    </row>
    <row r="6" spans="1:9">
      <c r="A6" s="20" t="s">
        <v>219</v>
      </c>
      <c r="B6" s="21"/>
      <c r="C6" s="21"/>
      <c r="D6" s="21"/>
      <c r="E6" s="21"/>
      <c r="F6" s="21"/>
      <c r="G6" s="21"/>
      <c r="H6" s="21"/>
      <c r="I6" s="21"/>
    </row>
    <row r="7" spans="1:9">
      <c r="A7" s="20" t="s">
        <v>220</v>
      </c>
      <c r="B7" s="21"/>
      <c r="C7" s="21"/>
      <c r="D7" s="21"/>
      <c r="E7" s="21"/>
      <c r="F7" s="21"/>
      <c r="G7" s="21"/>
      <c r="H7" s="21"/>
      <c r="I7" s="21"/>
    </row>
    <row r="8" spans="1:9">
      <c r="A8" s="22" t="s">
        <v>221</v>
      </c>
      <c r="B8" s="21"/>
      <c r="C8" s="21"/>
      <c r="D8" s="21"/>
      <c r="E8" s="21"/>
      <c r="F8" s="21"/>
      <c r="G8" s="21"/>
      <c r="H8" s="21"/>
      <c r="I8" s="21"/>
    </row>
  </sheetData>
  <mergeCells count="24"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C2" sqref="C2"/>
    </sheetView>
  </sheetViews>
  <sheetFormatPr defaultColWidth="9" defaultRowHeight="16.8" outlineLevelCol="3"/>
  <cols>
    <col min="1" max="1" width="9" style="1"/>
    <col min="2" max="2" width="13.0865384615385" style="1" customWidth="1"/>
    <col min="3" max="3" width="54.8846153846154" style="1" customWidth="1"/>
    <col min="4" max="4" width="55.4423076923077" style="1" customWidth="1"/>
    <col min="5" max="16384" width="9" style="1"/>
  </cols>
  <sheetData>
    <row r="1" s="1" customFormat="1" ht="17" spans="1:4">
      <c r="A1" s="2" t="s">
        <v>222</v>
      </c>
      <c r="B1" s="2"/>
      <c r="C1" s="2" t="s">
        <v>223</v>
      </c>
      <c r="D1" s="2" t="s">
        <v>224</v>
      </c>
    </row>
    <row r="2" s="1" customFormat="1" ht="68" spans="1:4">
      <c r="A2" s="3" t="s">
        <v>225</v>
      </c>
      <c r="B2" s="4" t="s">
        <v>218</v>
      </c>
      <c r="C2" s="5" t="s">
        <v>226</v>
      </c>
      <c r="D2" s="6" t="s">
        <v>227</v>
      </c>
    </row>
    <row r="3" s="1" customFormat="1" ht="78" customHeight="1" spans="1:4">
      <c r="A3" s="7"/>
      <c r="B3" s="4" t="s">
        <v>217</v>
      </c>
      <c r="C3" s="6" t="s">
        <v>228</v>
      </c>
      <c r="D3" s="8" t="s">
        <v>229</v>
      </c>
    </row>
    <row r="4" s="1" customFormat="1" ht="42" customHeight="1" spans="1:4">
      <c r="A4" s="7"/>
      <c r="B4" s="4" t="s">
        <v>230</v>
      </c>
      <c r="C4" s="6" t="s">
        <v>231</v>
      </c>
      <c r="D4" s="6" t="s">
        <v>232</v>
      </c>
    </row>
    <row r="5" s="1" customFormat="1" ht="51" spans="1:4">
      <c r="A5" s="9"/>
      <c r="B5" s="4" t="s">
        <v>233</v>
      </c>
      <c r="C5" s="6" t="s">
        <v>234</v>
      </c>
      <c r="D5" s="8" t="s">
        <v>235</v>
      </c>
    </row>
    <row r="6" s="1" customFormat="1" ht="17" spans="1:4">
      <c r="A6" s="10" t="s">
        <v>236</v>
      </c>
      <c r="B6" s="10" t="s">
        <v>236</v>
      </c>
      <c r="C6" s="6" t="s">
        <v>237</v>
      </c>
      <c r="D6" s="6" t="s">
        <v>238</v>
      </c>
    </row>
    <row r="7" s="1" customFormat="1" ht="17" spans="1:4">
      <c r="A7" s="10"/>
      <c r="B7" s="10" t="s">
        <v>239</v>
      </c>
      <c r="C7" s="6" t="s">
        <v>237</v>
      </c>
      <c r="D7" s="6" t="s">
        <v>238</v>
      </c>
    </row>
    <row r="8" s="1" customFormat="1" ht="17" spans="1:4">
      <c r="A8" s="10"/>
      <c r="B8" s="7" t="s">
        <v>240</v>
      </c>
      <c r="C8" s="6" t="s">
        <v>241</v>
      </c>
      <c r="D8" s="6" t="s">
        <v>242</v>
      </c>
    </row>
    <row r="9" s="1" customFormat="1" ht="55" customHeight="1" spans="1:4">
      <c r="A9" s="10" t="s">
        <v>243</v>
      </c>
      <c r="B9" s="10"/>
      <c r="C9" s="8" t="s">
        <v>244</v>
      </c>
      <c r="D9" s="6" t="s">
        <v>245</v>
      </c>
    </row>
    <row r="10" s="1" customFormat="1" ht="17" spans="1:4">
      <c r="A10" s="10" t="s">
        <v>246</v>
      </c>
      <c r="B10" s="10"/>
      <c r="C10" s="6" t="s">
        <v>247</v>
      </c>
      <c r="D10" s="6" t="s">
        <v>247</v>
      </c>
    </row>
    <row r="11" s="1" customFormat="1" ht="28" customHeight="1" spans="1:4">
      <c r="A11" s="10" t="s">
        <v>220</v>
      </c>
      <c r="B11" s="10"/>
      <c r="C11" s="8" t="s">
        <v>248</v>
      </c>
      <c r="D11" s="6" t="s">
        <v>249</v>
      </c>
    </row>
    <row r="12" s="1" customFormat="1" ht="51" spans="1:4">
      <c r="A12" s="4" t="s">
        <v>250</v>
      </c>
      <c r="B12" s="4"/>
      <c r="C12" s="8" t="s">
        <v>251</v>
      </c>
      <c r="D12" s="6" t="s">
        <v>252</v>
      </c>
    </row>
    <row r="13" s="1" customFormat="1" ht="84" spans="1:4">
      <c r="A13" s="4" t="s">
        <v>253</v>
      </c>
      <c r="B13" s="4"/>
      <c r="C13" s="8" t="s">
        <v>254</v>
      </c>
      <c r="D13" s="6" t="s">
        <v>255</v>
      </c>
    </row>
    <row r="14" s="1" customFormat="1" ht="17" spans="1:4">
      <c r="A14" s="4" t="s">
        <v>256</v>
      </c>
      <c r="B14" s="4"/>
      <c r="C14" s="6" t="s">
        <v>257</v>
      </c>
      <c r="D14" s="6" t="s">
        <v>258</v>
      </c>
    </row>
    <row r="15" s="1" customFormat="1" ht="17" spans="1:4">
      <c r="A15" s="10" t="s">
        <v>219</v>
      </c>
      <c r="B15" s="10"/>
      <c r="C15" s="6" t="s">
        <v>259</v>
      </c>
      <c r="D15" s="6" t="s">
        <v>260</v>
      </c>
    </row>
    <row r="16" s="1" customFormat="1" ht="34" spans="1:4">
      <c r="A16" s="11" t="s">
        <v>261</v>
      </c>
      <c r="B16" s="11"/>
      <c r="C16" s="12" t="s">
        <v>262</v>
      </c>
      <c r="D16" s="13" t="s">
        <v>263</v>
      </c>
    </row>
    <row r="17" s="1" customFormat="1" ht="17" spans="1:4">
      <c r="A17" s="10" t="s">
        <v>264</v>
      </c>
      <c r="B17" s="10"/>
      <c r="C17" s="6" t="s">
        <v>265</v>
      </c>
      <c r="D17" s="6" t="s">
        <v>266</v>
      </c>
    </row>
    <row r="18" s="1" customFormat="1" ht="34" spans="1:4">
      <c r="A18" s="10" t="s">
        <v>267</v>
      </c>
      <c r="B18" s="10"/>
      <c r="C18" s="6" t="s">
        <v>268</v>
      </c>
      <c r="D18" s="6" t="s">
        <v>269</v>
      </c>
    </row>
    <row r="19" s="1" customFormat="1" ht="17" spans="1:4">
      <c r="A19" s="10" t="s">
        <v>270</v>
      </c>
      <c r="B19" s="10"/>
      <c r="C19" s="6" t="s">
        <v>271</v>
      </c>
      <c r="D19" s="6" t="s">
        <v>272</v>
      </c>
    </row>
    <row r="20" s="1" customFormat="1" ht="34" spans="1:4">
      <c r="A20" s="10" t="s">
        <v>273</v>
      </c>
      <c r="B20" s="10"/>
      <c r="C20" s="6" t="s">
        <v>274</v>
      </c>
      <c r="D20" s="6" t="s">
        <v>274</v>
      </c>
    </row>
    <row r="21" s="1" customFormat="1" ht="34" spans="1:4">
      <c r="A21" s="10" t="s">
        <v>275</v>
      </c>
      <c r="B21" s="11" t="s">
        <v>276</v>
      </c>
      <c r="C21" s="12" t="s">
        <v>262</v>
      </c>
      <c r="D21" s="13" t="s">
        <v>277</v>
      </c>
    </row>
    <row r="22" s="1" customFormat="1" ht="34" spans="1:4">
      <c r="A22" s="10"/>
      <c r="B22" s="11" t="s">
        <v>278</v>
      </c>
      <c r="C22" s="12" t="s">
        <v>262</v>
      </c>
      <c r="D22" s="13" t="s">
        <v>279</v>
      </c>
    </row>
    <row r="23" s="1" customFormat="1" ht="15" customHeight="1" spans="1:4">
      <c r="A23" s="10"/>
      <c r="B23" s="10" t="s">
        <v>280</v>
      </c>
      <c r="C23" s="6" t="s">
        <v>281</v>
      </c>
      <c r="D23" s="6" t="s">
        <v>282</v>
      </c>
    </row>
    <row r="24" s="1" customFormat="1" ht="17" spans="1:4">
      <c r="A24" s="14" t="s">
        <v>283</v>
      </c>
      <c r="B24" s="15"/>
      <c r="C24" s="6" t="s">
        <v>284</v>
      </c>
      <c r="D24" s="6" t="s">
        <v>285</v>
      </c>
    </row>
  </sheetData>
  <mergeCells count="17">
    <mergeCell ref="A1:B1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4:B24"/>
    <mergeCell ref="A2:A5"/>
    <mergeCell ref="A6:A8"/>
    <mergeCell ref="A21:A2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3" master="" otherUserPermission="visible"/>
  <rangeList sheetStid="5" master="" otherUserPermission="visible"/>
  <rangeList sheetStid="11" master="" otherUserPermission="visible">
    <arrUserId title="区域2_2" rangeCreator="" othersAccessPermission="edit"/>
    <arrUserId title="区域1_2" rangeCreator="" othersAccessPermission="edit"/>
    <arrUserId title="区域2_3" rangeCreator="" othersAccessPermission="edit"/>
    <arrUserId title="区域2_2_1" rangeCreator="" othersAccessPermission="edit"/>
    <arrUserId title="区域2_2_2" rangeCreator="" othersAccessPermission="edit"/>
    <arrUserId title="区域2_2_2_1" rangeCreator="" othersAccessPermission="edit"/>
  </rangeList>
  <rangeList sheetStid="12" master="" otherUserPermission="visible"/>
  <rangeList sheetStid="1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1-填表说明和指标解释</vt:lpstr>
      <vt:lpstr>2-ICT项目评估结果</vt:lpstr>
      <vt:lpstr>3-直接经济效益评估表</vt:lpstr>
      <vt:lpstr>4-专线及各产品预算表</vt:lpstr>
      <vt:lpstr>5-标准产品投入和公允价值核算细则（如有更新，以更新后的规则）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phoenixl</dc:creator>
  <cp:lastModifiedBy>元芳</cp:lastModifiedBy>
  <dcterms:created xsi:type="dcterms:W3CDTF">2011-10-26T16:01:00Z</dcterms:created>
  <cp:lastPrinted>2014-04-02T16:38:00Z</cp:lastPrinted>
  <dcterms:modified xsi:type="dcterms:W3CDTF">2026-04-23T10:52:23Z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2052-12.1.25867.25867</vt:lpwstr>
  </property>
  <property fmtid="{D5CDD505-2E9C-101B-9397-08002B2CF9AE}" pid="3" name="ICV">
    <vt:lpwstr>8443ACD8CEED4140A177C6DFBAFC4245_13</vt:lpwstr>
  </property>
  <property fmtid="{D5CDD505-2E9C-101B-9397-08002B2CF9AE}" pid="4" name="CalculationRule">
    <vt:i4>0</vt:i4>
  </property>
</Properties>
</file>