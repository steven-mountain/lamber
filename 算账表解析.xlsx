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60" windowHeight="14120" activeTab="2"/>
  </bookViews>
  <sheets>
    <sheet name="1-填表说明和指标解释" sheetId="13" r:id="rId1"/>
    <sheet name="2-ICT项目评估结果" sheetId="5" r:id="rId2"/>
    <sheet name="3-直接经济效益评估表" sheetId="11" r:id="rId3"/>
    <sheet name="4-专线及各产品预算表" sheetId="12" r:id="rId4"/>
    <sheet name="5-标准产品投入和公允价值核算细则（如有更新，以更新后的规则）" sheetId="14" r:id="rId5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phoenixl</author>
  </authors>
  <commentList>
    <comment ref="C32" authorId="0">
      <text>
        <r>
          <rPr>
            <sz val="12"/>
            <rFont val="宋体"/>
            <charset val="134"/>
          </rPr>
          <t>将未来有限期预期收益折算成现值的比率。</t>
        </r>
      </text>
    </comment>
    <comment ref="O32" authorId="0">
      <text>
        <r>
          <rPr>
            <sz val="12"/>
            <rFont val="宋体"/>
            <scheme val="minor"/>
            <charset val="0"/>
          </rPr>
          <t>^n表示n次方。</t>
        </r>
      </text>
    </comment>
    <comment ref="E43" authorId="0">
      <text>
        <r>
          <rPr>
            <sz val="12"/>
            <rFont val="宋体"/>
            <charset val="134"/>
          </rPr>
          <t>根据第1-10年的现金流（收入）和折现率而定的投资净现值。</t>
        </r>
      </text>
    </comment>
    <comment ref="G43" authorId="0">
      <text>
        <r>
          <rPr>
            <sz val="12"/>
            <rFont val="宋体"/>
            <scheme val="minor"/>
            <charset val="0"/>
          </rPr>
          <t>根据第1-10年的现金流（支出）和折现率而定的投资净现值。</t>
        </r>
      </text>
    </comment>
    <comment ref="S44" authorId="0">
      <text>
        <r>
          <rPr>
            <sz val="12"/>
            <rFont val="宋体"/>
            <scheme val="minor"/>
            <charset val="0"/>
          </rPr>
          <t>返回P34到Q43区域内，第Q46行第1列的内容。</t>
        </r>
      </text>
    </comment>
    <comment ref="T44" authorId="0">
      <text>
        <r>
          <rPr>
            <sz val="12"/>
            <rFont val="宋体"/>
            <scheme val="minor"/>
            <charset val="0"/>
          </rPr>
          <t>满足P34到P43区域中，表格内容等于T的行数，无匹配则返回0.</t>
        </r>
      </text>
    </comment>
    <comment ref="O51" authorId="0">
      <text>
        <r>
          <rPr>
            <sz val="12"/>
            <rFont val="宋体"/>
            <scheme val="minor"/>
            <charset val="0"/>
          </rPr>
          <t>^n表示n次方。</t>
        </r>
      </text>
    </comment>
    <comment ref="E62" authorId="0">
      <text>
        <r>
          <rPr>
            <sz val="12"/>
            <rFont val="宋体"/>
            <charset val="134"/>
          </rPr>
          <t>根据第1-10年的现金流（收入）和折现率而定的投资净现值。</t>
        </r>
      </text>
    </comment>
    <comment ref="G62" authorId="0">
      <text>
        <r>
          <rPr>
            <sz val="12"/>
            <rFont val="宋体"/>
            <scheme val="minor"/>
            <charset val="0"/>
          </rPr>
          <t>根据第1-10年的现金流（支出）和折现率而定的投资净现值。</t>
        </r>
      </text>
    </comment>
  </commentList>
</comments>
</file>

<file path=xl/sharedStrings.xml><?xml version="1.0" encoding="utf-8"?>
<sst xmlns="http://schemas.openxmlformats.org/spreadsheetml/2006/main" count="404" uniqueCount="278">
  <si>
    <t xml:space="preserve"> 填写规则</t>
  </si>
  <si>
    <t>一、“ICT投资效益评估表”共4部分，包括填表说明和指标解释、ICT项目评估结果、直接经济效益评估表、专线及产品预算表（建设+维护）。</t>
  </si>
  <si>
    <r>
      <rPr>
        <sz val="10"/>
        <rFont val="微软雅黑"/>
        <charset val="134"/>
      </rPr>
      <t>二、</t>
    </r>
    <r>
      <rPr>
        <b/>
        <sz val="10"/>
        <color rgb="FFFF0000"/>
        <rFont val="微软雅黑"/>
        <charset val="134"/>
      </rPr>
      <t>需填写部分</t>
    </r>
    <r>
      <rPr>
        <sz val="10"/>
        <rFont val="微软雅黑"/>
        <charset val="134"/>
      </rPr>
      <t>：ICT项目评估结果、直接经济效益评估表、专线及各产品预算表（建设+维护）。</t>
    </r>
  </si>
  <si>
    <r>
      <rPr>
        <sz val="10"/>
        <rFont val="微软雅黑"/>
        <charset val="134"/>
      </rPr>
      <t>三、</t>
    </r>
    <r>
      <rPr>
        <b/>
        <sz val="10"/>
        <rFont val="微软雅黑"/>
        <charset val="134"/>
      </rPr>
      <t>项目收入</t>
    </r>
    <r>
      <rPr>
        <sz val="10"/>
        <rFont val="微软雅黑"/>
        <charset val="134"/>
      </rPr>
      <t>：包含IT收入和CT收入。“合同约定收款”应为依据与客户方合同，在合同期限内我公司确认取得的收入总额。确认项目现金流入时，应考虑项目建设期及业务实际开通时间等因素，从实际产生收入之时开始计算各项收入，并按合同付费要求按年填写实际现金流。</t>
    </r>
  </si>
  <si>
    <r>
      <rPr>
        <sz val="10"/>
        <rFont val="微软雅黑"/>
        <charset val="134"/>
      </rPr>
      <t>四、</t>
    </r>
    <r>
      <rPr>
        <b/>
        <sz val="10"/>
        <rFont val="微软雅黑"/>
        <charset val="134"/>
      </rPr>
      <t>项目支出</t>
    </r>
    <r>
      <rPr>
        <sz val="10"/>
        <rFont val="微软雅黑"/>
        <charset val="134"/>
      </rPr>
      <t>：包含IT支出、CT支出和其他支出。 项目成本支出应完整考虑合同期内所有相关建设、维护、更新等费用，按实际支出发生时间计入项目现金流出。“IT部分支出”包括“建设/服务支出”、“运行维护费用”、“其他支出”。“运行维护费用”应包含合同期内的所有运行维护支出，包括维护费用、设备更新费用、等其他需由我公司支付的费用。原则上在与合作方签订ICT项目协议时，其维保条件应满足我公司与客户单位协议中的维护标准及时限要求。若合作方提供的维保不能满足业主需求，确需增加维保的，该部分的维保成本应包含在维护费用内。综合类成本，指社会渠道酬金、相关管理费用等；非本项目新增支出成本分摊指IT/CT的量纲、间接成本分摊。</t>
    </r>
  </si>
  <si>
    <t>五、请需求单位根据实际情况填写。</t>
  </si>
  <si>
    <t>指标解释</t>
  </si>
  <si>
    <t>序号</t>
  </si>
  <si>
    <t>指标名称</t>
  </si>
  <si>
    <t>评价体系</t>
  </si>
  <si>
    <t>定义</t>
  </si>
  <si>
    <t>计算方法</t>
  </si>
  <si>
    <t>项目净现值</t>
  </si>
  <si>
    <t>集团/省内要求指标</t>
  </si>
  <si>
    <t>项目未来现金流入现值与未来现金流出现值的差额</t>
  </si>
  <si>
    <t>项目现金流入现值-项目现金流出现值</t>
  </si>
  <si>
    <t>净现值率</t>
  </si>
  <si>
    <t>项目净现值与总投资现值的比率</t>
  </si>
  <si>
    <t>净现值率=净现值/项目总投资现值*100%，净现值为建设期及生产期各年净现金流量现值合计值，总投资现值为建设及生产期内的投资现金流出的累计现值。</t>
  </si>
  <si>
    <t>项目毛利率
（项目整体利润率）</t>
  </si>
  <si>
    <t>项目毛利与项目收入的比率</t>
  </si>
  <si>
    <t>毛利率=毛利/项目总收入*100%，毛利=收入-投入。</t>
  </si>
  <si>
    <t>动态回收期</t>
  </si>
  <si>
    <t>考虑资金的时间价值时收回初始投入所需的时间。</t>
  </si>
  <si>
    <t>（累计净现金流量现值最后一次转正值的月份-1）+上一月累计净现金流量现值的绝对值/最后一次转正值月份净现金流量的现值。</t>
  </si>
  <si>
    <t>内部收益率</t>
  </si>
  <si>
    <t>集团要求指标</t>
  </si>
  <si>
    <t>资金流入现值总额与资金流出现值总额相等、净现值等于零时的折现率。</t>
  </si>
  <si>
    <t>根据接近于零的相邻正负两个净现值的折现率i1、i2，相应的净现值为NPV1、NPV2，用线性内插法求得内部收益率。内插公式为：IRR=i1+NPV1(i2-i1)/(NPV1-NPV2)。</t>
  </si>
  <si>
    <t>IT净现值率</t>
  </si>
  <si>
    <t>省内要求指标</t>
  </si>
  <si>
    <t>IT净现值与原始IT投入现值的比率</t>
  </si>
  <si>
    <t>IT净现值率=IT净现值/IT总投入现值*100%</t>
  </si>
  <si>
    <t>静态回收期</t>
  </si>
  <si>
    <t>不考虑资金的时间价值时，收回初始投入所需的时间</t>
  </si>
  <si>
    <t>（累计净现金流量最后一次转正值的月份-1）+上一月累计净现金流量的绝对值/最后一次转正值月份现金流量指。</t>
  </si>
  <si>
    <t>IT毛利率
（IT部分利润率）</t>
  </si>
  <si>
    <t>IT毛利与IT收入的比率</t>
  </si>
  <si>
    <t>IT毛利率=(IT收入-IT成本）/IT收入</t>
  </si>
  <si>
    <t>项目整体直接毛利率</t>
  </si>
  <si>
    <t>指直接毛利与项目收入的比率。</t>
  </si>
  <si>
    <t>直接毛利指项目收入减去项目支出（不含综合类成本和非本项目新增支出成本分摊）后的余额。</t>
  </si>
  <si>
    <t>IT部分直接毛利率</t>
  </si>
  <si>
    <t>指IT部分利润与项目收入的比率。I</t>
  </si>
  <si>
    <t>IT类项目收入减去IT类项目支出（不含综合类成本和非本项目新增支出成本分摊）后的余额。</t>
  </si>
  <si>
    <t>IT服务部分直接毛利率</t>
  </si>
  <si>
    <t>指IT服务部分直接毛利与项目收入的比率。</t>
  </si>
  <si>
    <t>IT服务部分直接毛利指IT类项目收入中服务部分减去IT类项目支出中服务部分（不含综合类成本和非本项目新增支出成本分摊）后的余额。</t>
  </si>
  <si>
    <t>项目通服直接毛利率</t>
  </si>
  <si>
    <t>指通服直接毛利与项目通服收入的比率。</t>
  </si>
  <si>
    <t>项目通服收入减去项目支出（不含硬件类成本、综合类成本和非本项目新增支出成本分摊）后的余额。</t>
  </si>
  <si>
    <t>ICT项目效益评估</t>
  </si>
  <si>
    <t>项目基本信息</t>
  </si>
  <si>
    <t>相关人员确认</t>
  </si>
  <si>
    <t>项目名称</t>
  </si>
  <si>
    <t>重庆高新智算科技服务有限公司机房改造项目</t>
  </si>
  <si>
    <t>客户单位名称</t>
  </si>
  <si>
    <t>重庆高新智算科技服务有限公司</t>
  </si>
  <si>
    <t>是否为续签项目</t>
  </si>
  <si>
    <t>否</t>
  </si>
  <si>
    <t>商务模式</t>
  </si>
  <si>
    <t>服务购销</t>
  </si>
  <si>
    <t>合同年限（年）</t>
  </si>
  <si>
    <t>资金来源</t>
  </si>
  <si>
    <t>成本</t>
  </si>
  <si>
    <t>项目总投入（元/不含税）</t>
  </si>
  <si>
    <t>IT投入（建设+维护）</t>
  </si>
  <si>
    <t>CT实际投入（建设+维护）</t>
  </si>
  <si>
    <t>非IT/CT投入</t>
  </si>
  <si>
    <t>综合类成本</t>
  </si>
  <si>
    <t>项目总收入（元/不含税）</t>
  </si>
  <si>
    <t>IT收入</t>
  </si>
  <si>
    <t>CT收入</t>
  </si>
  <si>
    <t>非IT/CT收入</t>
  </si>
  <si>
    <t>项目效益评估结果</t>
  </si>
  <si>
    <t>评价指标</t>
  </si>
  <si>
    <t>评估结果</t>
  </si>
  <si>
    <t>折现率</t>
  </si>
  <si>
    <t>项目净现值（元）</t>
  </si>
  <si>
    <t>项目净现值率（%)</t>
  </si>
  <si>
    <t>动态回收期（年）</t>
  </si>
  <si>
    <t>项目毛利率（%）</t>
  </si>
  <si>
    <t>内部收益率（%）（投资模式）</t>
  </si>
  <si>
    <t>IT净现值率（%）</t>
  </si>
  <si>
    <t>静态回收期（年）</t>
  </si>
  <si>
    <t>IT毛利率</t>
  </si>
  <si>
    <t xml:space="preserve">                                                                                         </t>
  </si>
  <si>
    <t xml:space="preserve">   立项决策层级</t>
  </si>
  <si>
    <t>根据项目投入金额和效益评估结果进行分级授权决策</t>
  </si>
  <si>
    <t>公司总办会决策</t>
  </si>
  <si>
    <t>业务价值评估</t>
  </si>
  <si>
    <t>指标说明</t>
  </si>
  <si>
    <t>指标达成情况描述</t>
  </si>
  <si>
    <t>客户规模</t>
  </si>
  <si>
    <t>主要评价集团客户的级别，规模和影响力。</t>
  </si>
  <si>
    <t>A类集团</t>
  </si>
  <si>
    <t>标杆效应及对CT拉动效应分析</t>
  </si>
  <si>
    <t>主要考核项目对于行业的影响作用；对CT拉动的影响作用。</t>
  </si>
  <si>
    <t>无</t>
  </si>
  <si>
    <t>政府重点建设项目</t>
  </si>
  <si>
    <t>主要考核政府对于项目的重视程度。</t>
  </si>
  <si>
    <t>是</t>
  </si>
  <si>
    <t>项目可能涉及5G应用场景的复制</t>
  </si>
  <si>
    <t>主要评价项目是否涉及5G应用场景，能否复制已有的应用场景，并对5G应用场景有其他方面的扩展。</t>
  </si>
  <si>
    <t>不涉及</t>
  </si>
  <si>
    <t>对市场占有率的影响</t>
  </si>
  <si>
    <t>主要评价项目投资对于扩大市场占有率和影响力的带动作用。</t>
  </si>
  <si>
    <t>提升移动份额</t>
  </si>
  <si>
    <t>其他业务价值</t>
  </si>
  <si>
    <t>如有其他业务价值，可视需求增加，请自行补充。</t>
  </si>
  <si>
    <t>分表：经济效益评估表（2025版）（所有数据请按照不含税填写）</t>
  </si>
  <si>
    <t>项目概况</t>
  </si>
  <si>
    <t>达丰重庆电脑有限公司AI智能体项目</t>
  </si>
  <si>
    <t>产权归属</t>
  </si>
  <si>
    <t>集成服务</t>
  </si>
  <si>
    <t>测算说明</t>
  </si>
  <si>
    <t>系统集成服务税率6%</t>
  </si>
  <si>
    <t>设备租赁收入</t>
  </si>
  <si>
    <t>请明确税率</t>
  </si>
  <si>
    <t>其他收入（代销设备、代理采购手续费等）</t>
  </si>
  <si>
    <t>工程施工税率9%</t>
  </si>
  <si>
    <t>移动云-定制化收入</t>
  </si>
  <si>
    <t xml:space="preserve">请明确税率 </t>
  </si>
  <si>
    <t>专线收入</t>
  </si>
  <si>
    <t>产品收入</t>
  </si>
  <si>
    <t>工程施工收入等</t>
  </si>
  <si>
    <t>总计</t>
  </si>
  <si>
    <t>IT/云收入+CT收入+非IT/CT收入</t>
  </si>
  <si>
    <t>支出侧合同
约定支出</t>
  </si>
  <si>
    <t>IT/移动云投入</t>
  </si>
  <si>
    <t>建设/服务支出</t>
  </si>
  <si>
    <t>主要设备/甲供材料</t>
  </si>
  <si>
    <t>硬件设备销售收入税率13%</t>
  </si>
  <si>
    <t>施工</t>
  </si>
  <si>
    <t>勘察设计/预备费</t>
  </si>
  <si>
    <t>其他投入</t>
  </si>
  <si>
    <t>运行维护费用</t>
  </si>
  <si>
    <t>维护费用</t>
  </si>
  <si>
    <t>其他运行支出（电费等）</t>
  </si>
  <si>
    <t>中标服务费</t>
  </si>
  <si>
    <t>设计院成本评估费</t>
  </si>
  <si>
    <t>评估费，税率为6%</t>
  </si>
  <si>
    <t>数智化转型咨询服务</t>
  </si>
  <si>
    <t>设计院评估费，税率6%</t>
  </si>
  <si>
    <t>CT投入</t>
  </si>
  <si>
    <t>CT实际投入</t>
  </si>
  <si>
    <t>专线建设</t>
  </si>
  <si>
    <t>请明确该项具体类别及税率</t>
  </si>
  <si>
    <t>专线维护</t>
  </si>
  <si>
    <t>根据公司采购结果据实测算</t>
  </si>
  <si>
    <r>
      <rPr>
        <sz val="14"/>
        <color theme="1"/>
        <rFont val="宋体"/>
        <charset val="134"/>
      </rPr>
      <t>其他产品成本
（</t>
    </r>
    <r>
      <rPr>
        <b/>
        <sz val="14"/>
        <color rgb="FFFF0000"/>
        <rFont val="宋体"/>
        <charset val="134"/>
      </rPr>
      <t>具体测算规则详见Sheet5</t>
    </r>
    <r>
      <rPr>
        <sz val="14"/>
        <color theme="1"/>
        <rFont val="宋体"/>
        <charset val="134"/>
      </rPr>
      <t>）</t>
    </r>
  </si>
  <si>
    <t>其他产品成本
（具体测算规则详见Sheet5）</t>
  </si>
  <si>
    <r>
      <rPr>
        <sz val="14"/>
        <color theme="1"/>
        <rFont val="宋体"/>
        <charset val="134"/>
      </rPr>
      <t>CT虚拟投入
（</t>
    </r>
    <r>
      <rPr>
        <b/>
        <sz val="14"/>
        <color rgb="FFFF0000"/>
        <rFont val="宋体"/>
        <charset val="134"/>
      </rPr>
      <t>续签需考虑</t>
    </r>
    <r>
      <rPr>
        <sz val="14"/>
        <color theme="1"/>
        <rFont val="宋体"/>
        <charset val="134"/>
      </rPr>
      <t>）</t>
    </r>
  </si>
  <si>
    <t>专线带宽成本</t>
  </si>
  <si>
    <t>专线/其他产品续签成本</t>
  </si>
  <si>
    <t>工程施工投入</t>
  </si>
  <si>
    <t>工程施工投入等</t>
  </si>
  <si>
    <t>融合营销成本</t>
  </si>
  <si>
    <t>渠道酬金</t>
  </si>
  <si>
    <t>其他管理费用等</t>
  </si>
  <si>
    <t>IT投入+CT投入+非IT/CT投入+综合类成本</t>
  </si>
  <si>
    <t>评价参数</t>
  </si>
  <si>
    <t>净现金流量</t>
  </si>
  <si>
    <t>累计净现金流量</t>
  </si>
  <si>
    <t>净现金流量现值</t>
  </si>
  <si>
    <t>累计净现金流量现值</t>
  </si>
  <si>
    <t>项目年现金流</t>
  </si>
  <si>
    <t>第一年</t>
  </si>
  <si>
    <t>现金流入</t>
  </si>
  <si>
    <t>项目现金流出</t>
  </si>
  <si>
    <t>第二年</t>
  </si>
  <si>
    <t>第三年</t>
  </si>
  <si>
    <t>第四年</t>
  </si>
  <si>
    <t>第五年</t>
  </si>
  <si>
    <t>第六年</t>
  </si>
  <si>
    <t>第七年</t>
  </si>
  <si>
    <t>第八年</t>
  </si>
  <si>
    <t>第九年</t>
  </si>
  <si>
    <t>第十年</t>
  </si>
  <si>
    <t>累计净现值</t>
  </si>
  <si>
    <t>项目总投资现值</t>
  </si>
  <si>
    <t>净现值</t>
  </si>
  <si>
    <t>动态回收期(年)</t>
  </si>
  <si>
    <t>毛利润率</t>
  </si>
  <si>
    <t>IT部分效益结果(请注意需剔除CT部分收入/投入)</t>
  </si>
  <si>
    <t>IT部分总收入</t>
  </si>
  <si>
    <t>IT部分总支出</t>
  </si>
  <si>
    <t>IT净现金流量</t>
  </si>
  <si>
    <t>IT累计净现金流量</t>
  </si>
  <si>
    <t>IT净现金流量现值</t>
  </si>
  <si>
    <t>IT累计净现金流量现值</t>
  </si>
  <si>
    <t>IT年现金流</t>
  </si>
  <si>
    <t>IT现金流入</t>
  </si>
  <si>
    <t>IT现金流出</t>
  </si>
  <si>
    <t>累计总投资现值</t>
  </si>
  <si>
    <t>IT净现值</t>
  </si>
  <si>
    <t>1、贴现系数（折现率）取值统一调整为5.5%；成本开支项目如涉及垫资贴现系数（折现率）取值8%；</t>
  </si>
  <si>
    <t>2、项目所有收入和支出明细的测算必须有充分的依据和明确的数值；</t>
  </si>
  <si>
    <t>3、项目的支出应完整考虑合同期内所有维保及设备更换的投入；</t>
  </si>
  <si>
    <t>4、为项目所发生的配套投资需纳入项目效益评价中；</t>
  </si>
  <si>
    <t>5、市公司将对项目所有收入和支出明细进行审核及后评估，分公司若有虚假上报的情况，将追究相关责任；</t>
  </si>
  <si>
    <t>6、本表浅红色部分为分公司填写，浅蓝色部分为自动生成，严禁对表格内结构公式进行修改或删除。</t>
  </si>
  <si>
    <t>说明：需粘贴产品经理预算邮件回复/设计院专线建设勘察费用截图</t>
  </si>
  <si>
    <t>CT类别</t>
  </si>
  <si>
    <t>产品资费档次</t>
  </si>
  <si>
    <t>成本预算
（建设+维护）</t>
  </si>
  <si>
    <t>合同签约单价</t>
  </si>
  <si>
    <t>签约数量</t>
  </si>
  <si>
    <t>2640（不含税）</t>
  </si>
  <si>
    <t>数据专线</t>
  </si>
  <si>
    <t>云视讯</t>
  </si>
  <si>
    <t>物联卡</t>
  </si>
  <si>
    <t>…</t>
  </si>
  <si>
    <t>产品名称</t>
  </si>
  <si>
    <t>投入核算规则</t>
  </si>
  <si>
    <t>公允价值</t>
  </si>
  <si>
    <t>专线类</t>
  </si>
  <si>
    <t>建设投资+运营维护成本
20年全市平均建设成本：数据专线（城镇：4625元/条；农村：7242元/条；平均:5329元/条）
20年全市平均维护成本：285元/条/年</t>
  </si>
  <si>
    <t>本地专线按总部下发的目录价最低折扣0.7折计算。（政企通〔2021〕13 号）
跨省专线：按总部下发的刚性管控价计算。</t>
  </si>
  <si>
    <t>互联网专线</t>
  </si>
  <si>
    <t xml:space="preserve">500M以下：建设投资+维护成本
500M及以上：按建设投资+维护成本+带宽价值底线价（5400元/1G/月）
</t>
  </si>
  <si>
    <t>按各带宽档次互联网专线基线价计算</t>
  </si>
  <si>
    <t>企业宽带</t>
  </si>
  <si>
    <t>建设+装维+终端成本
安装费：城区58元/条，农村70元/条
维护费：2元/月/条</t>
  </si>
  <si>
    <t>100M-80元/月
200M-120元/月
500M-300元/月
1000M-600元 /月</t>
  </si>
  <si>
    <t>智能组网</t>
  </si>
  <si>
    <t>终端设备成本：CMIOT-AX18-基础企业版，含税价203元
安装成本：城区58元/点位，农村70元/点位
无维护额外成本；</t>
  </si>
  <si>
    <t>20元/月/点位</t>
  </si>
  <si>
    <t>集团短彩信</t>
  </si>
  <si>
    <t>短信：0.04元/条</t>
  </si>
  <si>
    <t>短信：0.071元/条</t>
  </si>
  <si>
    <t>云MAS</t>
  </si>
  <si>
    <t>5G多媒体消息</t>
  </si>
  <si>
    <t>本网：0.096元/条；异网：0.12元/条</t>
  </si>
  <si>
    <t>0.26元/条</t>
  </si>
  <si>
    <t>集团语音</t>
  </si>
  <si>
    <t>呼叫中心：线路部分（同数据专线）+通信费（0.06元/分钟）
固话：线路部分（同数据专线）+话机</t>
  </si>
  <si>
    <t>呼叫中心：线路部分（同数据专线）+通信费（0.12元/分钟）
固话：按标准套餐档次（18-100元/月）+超套的通信费（0.10元/分钟）
（注：通信费收入分摊结果不低于总部刚性管控价0.06元/分钟）</t>
  </si>
  <si>
    <t>智能呼叫中心</t>
  </si>
  <si>
    <t>集团刚性管控：功能费+通信费（呼入呼出0.06元/分钟）</t>
  </si>
  <si>
    <t>集团公司刚性管控底价</t>
  </si>
  <si>
    <t>按标准月资费计算
（注：收入分摊结果不低于集团公司刚性管控底价）</t>
  </si>
  <si>
    <t>移动云</t>
  </si>
  <si>
    <t>标准产品：集团公司管控底价（现为5折）
特殊项目：市公司与云能中心单独核算</t>
  </si>
  <si>
    <t>按标准月资费计算
（注：收入分摊结果不低于集团公司管控底价，现在为5折，以最新文件为准）</t>
  </si>
  <si>
    <t>IDC</t>
  </si>
  <si>
    <t>按投资+运营成本+带宽成本计算</t>
  </si>
  <si>
    <t>按每档次最低折扣价格计算：
机位服务（175元/月/U）
机柜服务（3450元/月/机架，4KW）
机柜服务（6034元/月/机架，7KW） 
带宽价值：按IDC资费底价计算带宽价值。</t>
  </si>
  <si>
    <t>OneNET</t>
  </si>
  <si>
    <t>按采购价格计算</t>
  </si>
  <si>
    <t>按标准售价计算</t>
  </si>
  <si>
    <t>按终端+安装维护+终端延保成本计算</t>
  </si>
  <si>
    <t>按每款终端的标准月功能费计算</t>
  </si>
  <si>
    <t>和对讲</t>
  </si>
  <si>
    <t>按终端采购成本计算</t>
  </si>
  <si>
    <t>按每款终端的标准月功能费计算（以和对讲指导意见发文为准）</t>
  </si>
  <si>
    <t>千里眼</t>
  </si>
  <si>
    <t>按终端+安装维护+云存储成本+终端延保成本计算</t>
  </si>
  <si>
    <t>按每一型号的标准月功能费及云存储档次的月功能费计算</t>
  </si>
  <si>
    <t>和商务TV</t>
  </si>
  <si>
    <t>终端成本+牌照费（OTT：5.5元/月/户；IPTV：6.5元/月/户）+定制费成本</t>
  </si>
  <si>
    <t>按目录价20元/户/月计算+定制化成本</t>
  </si>
  <si>
    <t>企业视频彩铃</t>
  </si>
  <si>
    <t>4元/户/月</t>
  </si>
  <si>
    <t>6元/户/月</t>
  </si>
  <si>
    <t>移动办公</t>
  </si>
  <si>
    <t>按标准资费档次计算
云办公：按20元/户计算</t>
  </si>
  <si>
    <t>和交通</t>
  </si>
  <si>
    <t>车务通</t>
  </si>
  <si>
    <t>按每款终端的标准月功能费计算（以车务通指导意见发文为准）</t>
  </si>
  <si>
    <t>行车卫士</t>
  </si>
  <si>
    <t>按每款终端的标准月功能费计算（以行车卫士指导意见发文为准）</t>
  </si>
  <si>
    <t>高精度定位</t>
  </si>
  <si>
    <t>不低于与上研院结算（结算规则集团还在明确）</t>
  </si>
  <si>
    <t>标准价格七折</t>
  </si>
  <si>
    <t>大数据</t>
  </si>
  <si>
    <t>大数据短信：0.05元/条</t>
  </si>
  <si>
    <t>按标准销售价格计算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</si>
</sst>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_ ;[Red]\-#,##0.00\ "/>
    <numFmt numFmtId="178" formatCode="0.00_ ;[Red]\-0.00\ "/>
    <numFmt numFmtId="179" formatCode="0.00_);[Red]\(0.00\)"/>
    <numFmt numFmtId="180" formatCode="0.0_ "/>
    <numFmt numFmtId="181" formatCode="0.0%"/>
  </numFmts>
  <fonts count="55">
    <font>
      <sz val="11"/>
      <color theme="1"/>
      <name val="宋体"/>
      <charset val="134"/>
      <scheme val="minor"/>
    </font>
    <font>
      <b/>
      <sz val="11"/>
      <color theme="4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b/>
      <sz val="14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name val="宋体"/>
      <charset val="134"/>
    </font>
    <font>
      <b/>
      <sz val="18"/>
      <name val="黑体"/>
      <charset val="134"/>
    </font>
    <font>
      <b/>
      <sz val="14"/>
      <name val="黑体"/>
      <charset val="134"/>
    </font>
    <font>
      <b/>
      <sz val="14"/>
      <name val="宋体"/>
      <charset val="134"/>
    </font>
    <font>
      <b/>
      <sz val="14"/>
      <name val="仿宋"/>
      <charset val="134"/>
    </font>
    <font>
      <b/>
      <sz val="14"/>
      <color rgb="FFFF0000"/>
      <name val="仿宋"/>
      <charset val="134"/>
    </font>
    <font>
      <sz val="12"/>
      <color theme="1"/>
      <name val="宋体"/>
      <charset val="134"/>
    </font>
    <font>
      <sz val="10"/>
      <color theme="1"/>
      <name val="Times New Roman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FF0000"/>
      <name val="宋体"/>
      <charset val="134"/>
    </font>
    <font>
      <sz val="14"/>
      <color theme="1"/>
      <name val="微软雅黑"/>
      <charset val="134"/>
    </font>
    <font>
      <sz val="12"/>
      <name val="微软雅黑"/>
      <charset val="134"/>
    </font>
    <font>
      <b/>
      <sz val="18"/>
      <color indexed="8"/>
      <name val="微软雅黑"/>
      <charset val="134"/>
    </font>
    <font>
      <b/>
      <sz val="14"/>
      <color theme="0"/>
      <name val="微软雅黑"/>
      <charset val="134"/>
    </font>
    <font>
      <b/>
      <sz val="14"/>
      <color theme="1"/>
      <name val="微软雅黑"/>
      <charset val="134"/>
    </font>
    <font>
      <sz val="14"/>
      <color indexed="8"/>
      <name val="微软雅黑"/>
      <charset val="134"/>
    </font>
    <font>
      <sz val="14"/>
      <name val="微软雅黑"/>
      <charset val="134"/>
    </font>
    <font>
      <b/>
      <sz val="14"/>
      <color indexed="8"/>
      <name val="微软雅黑"/>
      <charset val="134"/>
    </font>
    <font>
      <b/>
      <sz val="14"/>
      <name val="微软雅黑"/>
      <charset val="134"/>
    </font>
    <font>
      <b/>
      <sz val="9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color theme="1"/>
      <name val="宋体"/>
      <charset val="134"/>
      <scheme val="minor"/>
    </font>
    <font>
      <b/>
      <sz val="10"/>
      <color rgb="FFFF0000"/>
      <name val="微软雅黑"/>
      <charset val="134"/>
    </font>
    <font>
      <sz val="12"/>
      <name val="宋体"/>
      <charset val="0"/>
      <scheme val="minor"/>
    </font>
    <font>
      <sz val="12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7" borderId="51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52" applyNumberFormat="0" applyFill="0" applyAlignment="0" applyProtection="0">
      <alignment vertical="center"/>
    </xf>
    <xf numFmtId="0" fontId="37" fillId="0" borderId="52" applyNumberFormat="0" applyFill="0" applyAlignment="0" applyProtection="0">
      <alignment vertical="center"/>
    </xf>
    <xf numFmtId="0" fontId="38" fillId="0" borderId="53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8" borderId="54" applyNumberFormat="0" applyAlignment="0" applyProtection="0">
      <alignment vertical="center"/>
    </xf>
    <xf numFmtId="0" fontId="40" fillId="19" borderId="55" applyNumberFormat="0" applyAlignment="0" applyProtection="0">
      <alignment vertical="center"/>
    </xf>
    <xf numFmtId="0" fontId="41" fillId="19" borderId="54" applyNumberFormat="0" applyAlignment="0" applyProtection="0">
      <alignment vertical="center"/>
    </xf>
    <xf numFmtId="0" fontId="42" fillId="20" borderId="56" applyNumberFormat="0" applyAlignment="0" applyProtection="0">
      <alignment vertical="center"/>
    </xf>
    <xf numFmtId="0" fontId="43" fillId="0" borderId="57" applyNumberFormat="0" applyFill="0" applyAlignment="0" applyProtection="0">
      <alignment vertical="center"/>
    </xf>
    <xf numFmtId="0" fontId="44" fillId="0" borderId="58" applyNumberFormat="0" applyFill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1" fillId="0" borderId="0"/>
  </cellStyleXfs>
  <cellXfs count="276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0" borderId="0" xfId="49" applyFont="1" applyProtection="1">
      <alignment vertical="center"/>
      <protection locked="0"/>
    </xf>
    <xf numFmtId="0" fontId="8" fillId="0" borderId="0" xfId="49" applyFont="1">
      <alignment vertical="center"/>
    </xf>
    <xf numFmtId="0" fontId="8" fillId="0" borderId="0" xfId="49" applyFont="1" applyProtection="1">
      <alignment vertical="center"/>
      <protection hidden="1"/>
    </xf>
    <xf numFmtId="0" fontId="9" fillId="0" borderId="0" xfId="49" applyFont="1" applyAlignment="1" applyProtection="1">
      <alignment horizontal="left" vertical="center"/>
      <protection hidden="1"/>
    </xf>
    <xf numFmtId="0" fontId="10" fillId="0" borderId="0" xfId="49" applyFont="1" applyAlignment="1" applyProtection="1">
      <alignment horizontal="left" vertical="center"/>
      <protection hidden="1"/>
    </xf>
    <xf numFmtId="0" fontId="11" fillId="0" borderId="0" xfId="49" applyFont="1" applyAlignment="1" applyProtection="1">
      <alignment horizontal="center" vertical="center"/>
      <protection locked="0"/>
    </xf>
    <xf numFmtId="0" fontId="12" fillId="0" borderId="0" xfId="49" applyFont="1" applyAlignment="1">
      <alignment horizontal="center" vertical="center"/>
    </xf>
    <xf numFmtId="0" fontId="8" fillId="0" borderId="7" xfId="49" applyFont="1" applyBorder="1" applyAlignment="1" applyProtection="1">
      <alignment horizontal="center" vertical="center"/>
      <protection hidden="1"/>
    </xf>
    <xf numFmtId="0" fontId="8" fillId="4" borderId="8" xfId="49" applyFont="1" applyFill="1" applyBorder="1" applyAlignment="1" applyProtection="1">
      <alignment horizontal="center" vertical="center"/>
      <protection hidden="1"/>
    </xf>
    <xf numFmtId="0" fontId="8" fillId="4" borderId="9" xfId="49" applyFont="1" applyFill="1" applyBorder="1" applyAlignment="1" applyProtection="1">
      <alignment horizontal="center" vertical="center"/>
      <protection hidden="1"/>
    </xf>
    <xf numFmtId="0" fontId="8" fillId="4" borderId="10" xfId="49" applyFont="1" applyFill="1" applyBorder="1" applyAlignment="1" applyProtection="1">
      <alignment horizontal="center" vertical="center"/>
      <protection hidden="1"/>
    </xf>
    <xf numFmtId="0" fontId="8" fillId="0" borderId="0" xfId="49" applyFont="1" applyAlignment="1" applyProtection="1">
      <alignment horizontal="center" vertical="center"/>
      <protection hidden="1"/>
    </xf>
    <xf numFmtId="0" fontId="8" fillId="0" borderId="0" xfId="49" applyFont="1" applyBorder="1" applyAlignment="1" applyProtection="1">
      <alignment horizontal="center" vertical="center"/>
      <protection hidden="1"/>
    </xf>
    <xf numFmtId="0" fontId="12" fillId="0" borderId="0" xfId="49" applyFont="1" applyBorder="1" applyAlignment="1" applyProtection="1">
      <alignment horizontal="center" vertical="center"/>
      <protection hidden="1"/>
    </xf>
    <xf numFmtId="0" fontId="13" fillId="0" borderId="0" xfId="49" applyFont="1" applyBorder="1" applyProtection="1">
      <alignment vertical="center"/>
      <protection hidden="1"/>
    </xf>
    <xf numFmtId="0" fontId="8" fillId="0" borderId="0" xfId="49" applyFont="1" applyBorder="1" applyProtection="1">
      <alignment vertical="center"/>
      <protection hidden="1"/>
    </xf>
    <xf numFmtId="0" fontId="8" fillId="0" borderId="11" xfId="49" applyFont="1" applyBorder="1" applyAlignment="1" applyProtection="1">
      <alignment horizontal="center" vertical="center" wrapText="1"/>
      <protection hidden="1"/>
    </xf>
    <xf numFmtId="0" fontId="8" fillId="0" borderId="12" xfId="49" applyFont="1" applyBorder="1" applyAlignment="1" applyProtection="1">
      <alignment horizontal="center" vertical="center" wrapText="1"/>
      <protection hidden="1"/>
    </xf>
    <xf numFmtId="0" fontId="8" fillId="0" borderId="13" xfId="49" applyFont="1" applyBorder="1" applyAlignment="1" applyProtection="1">
      <alignment horizontal="center" vertical="center"/>
      <protection hidden="1"/>
    </xf>
    <xf numFmtId="0" fontId="8" fillId="0" borderId="7" xfId="49" applyFont="1" applyBorder="1" applyProtection="1">
      <alignment vertical="center"/>
      <protection hidden="1"/>
    </xf>
    <xf numFmtId="176" fontId="8" fillId="4" borderId="7" xfId="49" applyNumberFormat="1" applyFont="1" applyFill="1" applyBorder="1" applyAlignment="1" applyProtection="1">
      <alignment horizontal="center" vertical="center"/>
      <protection hidden="1"/>
    </xf>
    <xf numFmtId="9" fontId="8" fillId="4" borderId="7" xfId="49" applyNumberFormat="1" applyFont="1" applyFill="1" applyBorder="1" applyAlignment="1" applyProtection="1">
      <alignment horizontal="left" vertical="center"/>
      <protection hidden="1"/>
    </xf>
    <xf numFmtId="0" fontId="8" fillId="4" borderId="7" xfId="49" applyFont="1" applyFill="1" applyBorder="1" applyAlignment="1" applyProtection="1">
      <alignment horizontal="left" vertical="center"/>
      <protection hidden="1"/>
    </xf>
    <xf numFmtId="0" fontId="14" fillId="0" borderId="0" xfId="0" applyFont="1" applyBorder="1" applyAlignment="1">
      <alignment horizontal="center" vertical="center" wrapText="1"/>
    </xf>
    <xf numFmtId="0" fontId="8" fillId="0" borderId="8" xfId="49" applyFont="1" applyBorder="1" applyAlignment="1" applyProtection="1">
      <alignment horizontal="left" vertical="center"/>
      <protection hidden="1"/>
    </xf>
    <xf numFmtId="0" fontId="8" fillId="0" borderId="9" xfId="49" applyFont="1" applyBorder="1" applyAlignment="1" applyProtection="1">
      <alignment horizontal="left" vertical="center"/>
      <protection hidden="1"/>
    </xf>
    <xf numFmtId="0" fontId="8" fillId="0" borderId="10" xfId="49" applyFont="1" applyBorder="1" applyAlignment="1" applyProtection="1">
      <alignment horizontal="left" vertical="center"/>
      <protection hidden="1"/>
    </xf>
    <xf numFmtId="0" fontId="15" fillId="0" borderId="0" xfId="0" applyFont="1" applyBorder="1" applyAlignment="1">
      <alignment horizontal="justify" vertical="center" wrapText="1"/>
    </xf>
    <xf numFmtId="0" fontId="8" fillId="0" borderId="14" xfId="49" applyFont="1" applyBorder="1" applyAlignment="1" applyProtection="1">
      <alignment horizontal="center" vertical="center"/>
      <protection hidden="1"/>
    </xf>
    <xf numFmtId="0" fontId="8" fillId="0" borderId="15" xfId="49" applyFont="1" applyBorder="1" applyAlignment="1" applyProtection="1">
      <alignment horizontal="center" vertical="center"/>
      <protection hidden="1"/>
    </xf>
    <xf numFmtId="0" fontId="8" fillId="0" borderId="0" xfId="49" applyFont="1" applyBorder="1">
      <alignment vertical="center"/>
    </xf>
    <xf numFmtId="0" fontId="12" fillId="0" borderId="0" xfId="49" applyFont="1" applyBorder="1" applyAlignment="1">
      <alignment horizontal="center" vertical="center"/>
    </xf>
    <xf numFmtId="0" fontId="13" fillId="0" borderId="0" xfId="49" applyFont="1" applyBorder="1" applyAlignment="1">
      <alignment horizontal="center" vertical="center"/>
    </xf>
    <xf numFmtId="0" fontId="8" fillId="0" borderId="0" xfId="49" applyFont="1" applyBorder="1" applyAlignment="1" applyProtection="1">
      <alignment horizontal="center" vertical="center" wrapText="1"/>
      <protection hidden="1"/>
    </xf>
    <xf numFmtId="9" fontId="8" fillId="4" borderId="8" xfId="49" applyNumberFormat="1" applyFont="1" applyFill="1" applyBorder="1" applyAlignment="1" applyProtection="1">
      <alignment horizontal="center" vertical="center"/>
      <protection hidden="1"/>
    </xf>
    <xf numFmtId="9" fontId="8" fillId="4" borderId="9" xfId="49" applyNumberFormat="1" applyFont="1" applyFill="1" applyBorder="1" applyAlignment="1" applyProtection="1">
      <alignment horizontal="center" vertical="center"/>
      <protection hidden="1"/>
    </xf>
    <xf numFmtId="9" fontId="8" fillId="4" borderId="10" xfId="49" applyNumberFormat="1" applyFont="1" applyFill="1" applyBorder="1" applyAlignment="1" applyProtection="1">
      <alignment horizontal="center" vertical="center"/>
      <protection hidden="1"/>
    </xf>
    <xf numFmtId="0" fontId="14" fillId="0" borderId="0" xfId="0" applyFont="1" applyBorder="1" applyAlignment="1">
      <alignment horizontal="justify" vertical="center" wrapText="1"/>
    </xf>
    <xf numFmtId="0" fontId="8" fillId="0" borderId="16" xfId="49" applyFont="1" applyBorder="1" applyAlignment="1" applyProtection="1">
      <alignment horizontal="center" vertical="center" wrapText="1"/>
      <protection hidden="1"/>
    </xf>
    <xf numFmtId="0" fontId="8" fillId="0" borderId="17" xfId="49" applyFont="1" applyBorder="1" applyAlignment="1" applyProtection="1">
      <alignment horizontal="center" vertical="center" wrapText="1"/>
      <protection hidden="1"/>
    </xf>
    <xf numFmtId="176" fontId="8" fillId="5" borderId="7" xfId="49" applyNumberFormat="1" applyFont="1" applyFill="1" applyBorder="1" applyAlignment="1" applyProtection="1">
      <alignment horizontal="center" vertical="center"/>
      <protection hidden="1"/>
    </xf>
    <xf numFmtId="0" fontId="8" fillId="0" borderId="18" xfId="49" applyFont="1" applyBorder="1" applyAlignment="1" applyProtection="1">
      <alignment horizontal="center" vertical="center" wrapText="1"/>
      <protection hidden="1"/>
    </xf>
    <xf numFmtId="0" fontId="8" fillId="0" borderId="19" xfId="49" applyFont="1" applyBorder="1" applyAlignment="1" applyProtection="1">
      <alignment horizontal="center" vertical="center" wrapText="1"/>
      <protection hidden="1"/>
    </xf>
    <xf numFmtId="0" fontId="16" fillId="0" borderId="13" xfId="49" applyFont="1" applyBorder="1" applyAlignment="1" applyProtection="1">
      <alignment horizontal="center" vertical="center"/>
      <protection hidden="1"/>
    </xf>
    <xf numFmtId="0" fontId="8" fillId="0" borderId="15" xfId="49" applyFont="1" applyBorder="1" applyAlignment="1" applyProtection="1">
      <alignment horizontal="center" vertical="center" wrapText="1"/>
      <protection locked="0"/>
    </xf>
    <xf numFmtId="0" fontId="16" fillId="0" borderId="7" xfId="49" applyFont="1" applyBorder="1" applyAlignment="1" applyProtection="1">
      <alignment horizontal="left" vertical="center"/>
      <protection hidden="1"/>
    </xf>
    <xf numFmtId="0" fontId="8" fillId="0" borderId="13" xfId="49" applyFont="1" applyBorder="1" applyAlignment="1" applyProtection="1">
      <alignment horizontal="center" vertical="center" wrapText="1"/>
      <protection locked="0"/>
    </xf>
    <xf numFmtId="0" fontId="16" fillId="0" borderId="8" xfId="49" applyFont="1" applyBorder="1" applyAlignment="1" applyProtection="1">
      <alignment horizontal="left" vertical="center"/>
      <protection hidden="1"/>
    </xf>
    <xf numFmtId="0" fontId="16" fillId="0" borderId="10" xfId="49" applyFont="1" applyBorder="1" applyAlignment="1" applyProtection="1">
      <alignment horizontal="left" vertical="center"/>
      <protection hidden="1"/>
    </xf>
    <xf numFmtId="176" fontId="8" fillId="6" borderId="7" xfId="49" applyNumberFormat="1" applyFont="1" applyFill="1" applyBorder="1" applyAlignment="1" applyProtection="1">
      <alignment horizontal="center" vertical="center"/>
      <protection hidden="1"/>
    </xf>
    <xf numFmtId="0" fontId="13" fillId="0" borderId="0" xfId="49" applyFont="1" applyProtection="1">
      <alignment vertical="center"/>
      <protection hidden="1"/>
    </xf>
    <xf numFmtId="0" fontId="8" fillId="0" borderId="0" xfId="49" applyFont="1" applyAlignment="1" applyProtection="1">
      <alignment horizontal="center" vertical="center"/>
      <protection locked="0"/>
    </xf>
    <xf numFmtId="0" fontId="16" fillId="0" borderId="7" xfId="49" applyFont="1" applyBorder="1" applyAlignment="1" applyProtection="1">
      <alignment horizontal="center" vertical="center"/>
      <protection hidden="1"/>
    </xf>
    <xf numFmtId="0" fontId="8" fillId="4" borderId="8" xfId="49" applyFont="1" applyFill="1" applyBorder="1" applyAlignment="1" applyProtection="1">
      <alignment horizontal="left" vertical="center"/>
      <protection hidden="1"/>
    </xf>
    <xf numFmtId="0" fontId="8" fillId="4" borderId="9" xfId="49" applyFont="1" applyFill="1" applyBorder="1" applyAlignment="1" applyProtection="1">
      <alignment horizontal="left" vertical="center"/>
      <protection hidden="1"/>
    </xf>
    <xf numFmtId="0" fontId="8" fillId="4" borderId="10" xfId="49" applyFont="1" applyFill="1" applyBorder="1" applyAlignment="1" applyProtection="1">
      <alignment horizontal="left" vertical="center"/>
      <protection hidden="1"/>
    </xf>
    <xf numFmtId="0" fontId="16" fillId="0" borderId="15" xfId="49" applyFont="1" applyBorder="1" applyAlignment="1" applyProtection="1">
      <alignment horizontal="center" vertical="center"/>
      <protection hidden="1"/>
    </xf>
    <xf numFmtId="0" fontId="8" fillId="0" borderId="0" xfId="49" applyNumberFormat="1" applyFont="1" applyBorder="1" applyAlignment="1" applyProtection="1">
      <alignment horizontal="center" vertical="center" wrapText="1"/>
      <protection hidden="1"/>
    </xf>
    <xf numFmtId="0" fontId="16" fillId="0" borderId="9" xfId="49" applyFont="1" applyBorder="1" applyAlignment="1" applyProtection="1">
      <alignment horizontal="left" vertical="center"/>
      <protection hidden="1"/>
    </xf>
    <xf numFmtId="0" fontId="16" fillId="0" borderId="20" xfId="49" applyFont="1" applyBorder="1" applyAlignment="1" applyProtection="1">
      <alignment horizontal="left" vertical="center" wrapText="1"/>
      <protection hidden="1"/>
    </xf>
    <xf numFmtId="0" fontId="16" fillId="0" borderId="19" xfId="49" applyFont="1" applyBorder="1" applyAlignment="1" applyProtection="1">
      <alignment horizontal="left" vertical="center" wrapText="1"/>
      <protection hidden="1"/>
    </xf>
    <xf numFmtId="177" fontId="8" fillId="0" borderId="0" xfId="49" applyNumberFormat="1" applyFont="1" applyBorder="1" applyProtection="1">
      <alignment vertical="center"/>
      <protection hidden="1"/>
    </xf>
    <xf numFmtId="176" fontId="8" fillId="0" borderId="0" xfId="49" applyNumberFormat="1" applyFont="1" applyAlignment="1" applyProtection="1">
      <alignment horizontal="center" vertical="center"/>
      <protection hidden="1"/>
    </xf>
    <xf numFmtId="0" fontId="16" fillId="0" borderId="18" xfId="49" applyFont="1" applyBorder="1" applyAlignment="1" applyProtection="1">
      <alignment horizontal="center" vertical="center" wrapText="1"/>
      <protection hidden="1"/>
    </xf>
    <xf numFmtId="0" fontId="16" fillId="0" borderId="21" xfId="49" applyFont="1" applyBorder="1" applyAlignment="1" applyProtection="1">
      <alignment horizontal="left" vertical="center" wrapText="1"/>
      <protection hidden="1"/>
    </xf>
    <xf numFmtId="0" fontId="16" fillId="0" borderId="22" xfId="49" applyFont="1" applyBorder="1" applyAlignment="1" applyProtection="1">
      <alignment horizontal="left" vertical="center" wrapText="1"/>
      <protection hidden="1"/>
    </xf>
    <xf numFmtId="176" fontId="8" fillId="4" borderId="10" xfId="49" applyNumberFormat="1" applyFont="1" applyFill="1" applyBorder="1" applyAlignment="1" applyProtection="1">
      <alignment horizontal="center" vertical="center"/>
      <protection hidden="1"/>
    </xf>
    <xf numFmtId="0" fontId="16" fillId="0" borderId="14" xfId="49" applyFont="1" applyBorder="1" applyAlignment="1" applyProtection="1">
      <alignment horizontal="center" vertical="center"/>
      <protection hidden="1"/>
    </xf>
    <xf numFmtId="0" fontId="16" fillId="0" borderId="16" xfId="49" applyFont="1" applyBorder="1" applyAlignment="1" applyProtection="1">
      <alignment horizontal="center" vertical="center"/>
      <protection hidden="1"/>
    </xf>
    <xf numFmtId="0" fontId="16" fillId="0" borderId="23" xfId="49" applyFont="1" applyBorder="1" applyAlignment="1" applyProtection="1">
      <alignment horizontal="left" vertical="center" wrapText="1"/>
      <protection hidden="1"/>
    </xf>
    <xf numFmtId="0" fontId="16" fillId="0" borderId="24" xfId="49" applyFont="1" applyBorder="1" applyAlignment="1" applyProtection="1">
      <alignment horizontal="left" vertical="center" wrapText="1"/>
      <protection hidden="1"/>
    </xf>
    <xf numFmtId="178" fontId="8" fillId="0" borderId="0" xfId="49" applyNumberFormat="1" applyFont="1" applyBorder="1" applyProtection="1">
      <alignment vertical="center"/>
      <protection hidden="1"/>
    </xf>
    <xf numFmtId="0" fontId="16" fillId="0" borderId="17" xfId="49" applyFont="1" applyBorder="1" applyAlignment="1" applyProtection="1">
      <alignment horizontal="left" vertical="center" wrapText="1"/>
      <protection hidden="1"/>
    </xf>
    <xf numFmtId="0" fontId="16" fillId="0" borderId="25" xfId="49" applyFont="1" applyBorder="1" applyAlignment="1" applyProtection="1">
      <alignment horizontal="left" vertical="center" wrapText="1"/>
      <protection hidden="1"/>
    </xf>
    <xf numFmtId="0" fontId="16" fillId="0" borderId="15" xfId="49" applyFont="1" applyBorder="1" applyAlignment="1" applyProtection="1">
      <alignment horizontal="center" vertical="center" wrapText="1"/>
      <protection hidden="1"/>
    </xf>
    <xf numFmtId="0" fontId="16" fillId="0" borderId="8" xfId="49" applyFont="1" applyBorder="1" applyAlignment="1" applyProtection="1">
      <alignment vertical="center" wrapText="1"/>
      <protection hidden="1"/>
    </xf>
    <xf numFmtId="0" fontId="16" fillId="0" borderId="17" xfId="49" applyFont="1" applyBorder="1" applyAlignment="1" applyProtection="1">
      <alignment vertical="center" wrapText="1"/>
      <protection hidden="1"/>
    </xf>
    <xf numFmtId="0" fontId="16" fillId="0" borderId="25" xfId="49" applyFont="1" applyBorder="1" applyAlignment="1" applyProtection="1">
      <alignment vertical="center" wrapText="1"/>
      <protection hidden="1"/>
    </xf>
    <xf numFmtId="177" fontId="8" fillId="0" borderId="0" xfId="49" applyNumberFormat="1" applyFont="1" applyProtection="1">
      <alignment vertical="center"/>
      <protection hidden="1"/>
    </xf>
    <xf numFmtId="0" fontId="8" fillId="0" borderId="7" xfId="49" applyFont="1" applyBorder="1" applyAlignment="1" applyProtection="1">
      <alignment horizontal="left" vertical="center"/>
      <protection locked="0"/>
    </xf>
    <xf numFmtId="0" fontId="8" fillId="4" borderId="20" xfId="49" applyFont="1" applyFill="1" applyBorder="1" applyAlignment="1" applyProtection="1">
      <alignment horizontal="left" vertical="center"/>
      <protection hidden="1"/>
    </xf>
    <xf numFmtId="0" fontId="8" fillId="4" borderId="19" xfId="49" applyFont="1" applyFill="1" applyBorder="1" applyAlignment="1" applyProtection="1">
      <alignment horizontal="left" vertical="center"/>
      <protection hidden="1"/>
    </xf>
    <xf numFmtId="0" fontId="16" fillId="0" borderId="20" xfId="49" applyFont="1" applyBorder="1" applyAlignment="1" applyProtection="1">
      <alignment horizontal="left" vertical="center"/>
      <protection hidden="1"/>
    </xf>
    <xf numFmtId="0" fontId="8" fillId="5" borderId="15" xfId="49" applyFont="1" applyFill="1" applyBorder="1" applyAlignment="1" applyProtection="1">
      <alignment horizontal="center" vertical="center"/>
      <protection hidden="1"/>
    </xf>
    <xf numFmtId="0" fontId="8" fillId="0" borderId="20" xfId="49" applyFont="1" applyBorder="1" applyAlignment="1" applyProtection="1">
      <alignment horizontal="center" vertical="center"/>
      <protection hidden="1"/>
    </xf>
    <xf numFmtId="0" fontId="17" fillId="0" borderId="7" xfId="0" applyFont="1" applyBorder="1">
      <alignment vertical="center"/>
    </xf>
    <xf numFmtId="0" fontId="8" fillId="0" borderId="16" xfId="49" applyFont="1" applyBorder="1" applyAlignment="1" applyProtection="1">
      <alignment horizontal="center" vertical="center"/>
      <protection hidden="1"/>
    </xf>
    <xf numFmtId="10" fontId="8" fillId="5" borderId="21" xfId="49" applyNumberFormat="1" applyFont="1" applyFill="1" applyBorder="1" applyAlignment="1" applyProtection="1">
      <alignment horizontal="center" vertical="center"/>
      <protection hidden="1"/>
    </xf>
    <xf numFmtId="10" fontId="8" fillId="5" borderId="26" xfId="49" applyNumberFormat="1" applyFont="1" applyFill="1" applyBorder="1" applyAlignment="1" applyProtection="1">
      <alignment horizontal="center" vertical="center"/>
      <protection hidden="1"/>
    </xf>
    <xf numFmtId="10" fontId="8" fillId="5" borderId="22" xfId="49" applyNumberFormat="1" applyFont="1" applyFill="1" applyBorder="1" applyAlignment="1" applyProtection="1">
      <alignment horizontal="center" vertical="center"/>
      <protection hidden="1"/>
    </xf>
    <xf numFmtId="10" fontId="8" fillId="5" borderId="20" xfId="49" applyNumberFormat="1" applyFont="1" applyFill="1" applyBorder="1" applyAlignment="1" applyProtection="1">
      <alignment vertical="center"/>
      <protection hidden="1"/>
    </xf>
    <xf numFmtId="9" fontId="8" fillId="0" borderId="18" xfId="49" applyNumberFormat="1" applyFont="1" applyBorder="1" applyAlignment="1" applyProtection="1">
      <alignment horizontal="center" vertical="center"/>
      <protection hidden="1"/>
    </xf>
    <xf numFmtId="9" fontId="8" fillId="0" borderId="19" xfId="49" applyNumberFormat="1" applyFont="1" applyBorder="1" applyAlignment="1" applyProtection="1">
      <alignment horizontal="center" vertical="center"/>
      <protection hidden="1"/>
    </xf>
    <xf numFmtId="9" fontId="8" fillId="0" borderId="20" xfId="49" applyNumberFormat="1" applyFont="1" applyBorder="1" applyAlignment="1" applyProtection="1">
      <alignment horizontal="center" vertical="center"/>
      <protection hidden="1"/>
    </xf>
    <xf numFmtId="0" fontId="8" fillId="0" borderId="18" xfId="49" applyFont="1" applyBorder="1" applyAlignment="1" applyProtection="1">
      <alignment horizontal="center" vertical="center"/>
      <protection hidden="1"/>
    </xf>
    <xf numFmtId="0" fontId="8" fillId="0" borderId="19" xfId="49" applyFont="1" applyBorder="1" applyAlignment="1" applyProtection="1">
      <alignment horizontal="center" vertical="center"/>
      <protection hidden="1"/>
    </xf>
    <xf numFmtId="10" fontId="8" fillId="0" borderId="0" xfId="49" applyNumberFormat="1" applyFont="1" applyAlignment="1" applyProtection="1">
      <alignment horizontal="center" vertical="center"/>
      <protection hidden="1"/>
    </xf>
    <xf numFmtId="176" fontId="8" fillId="4" borderId="7" xfId="49" applyNumberFormat="1" applyFont="1" applyFill="1" applyBorder="1" applyAlignment="1" applyProtection="1">
      <alignment horizontal="center" vertical="center" wrapText="1"/>
      <protection hidden="1"/>
    </xf>
    <xf numFmtId="176" fontId="8" fillId="4" borderId="8" xfId="49" applyNumberFormat="1" applyFont="1" applyFill="1" applyBorder="1" applyAlignment="1" applyProtection="1">
      <alignment horizontal="center" vertical="center"/>
      <protection hidden="1"/>
    </xf>
    <xf numFmtId="176" fontId="8" fillId="4" borderId="9" xfId="49" applyNumberFormat="1" applyFont="1" applyFill="1" applyBorder="1" applyAlignment="1" applyProtection="1">
      <alignment horizontal="center" vertical="center"/>
      <protection hidden="1"/>
    </xf>
    <xf numFmtId="177" fontId="8" fillId="5" borderId="8" xfId="49" applyNumberFormat="1" applyFont="1" applyFill="1" applyBorder="1" applyAlignment="1" applyProtection="1">
      <alignment horizontal="center" vertical="center"/>
      <protection hidden="1"/>
    </xf>
    <xf numFmtId="177" fontId="8" fillId="5" borderId="10" xfId="49" applyNumberFormat="1" applyFont="1" applyFill="1" applyBorder="1" applyAlignment="1" applyProtection="1">
      <alignment horizontal="center" vertical="center"/>
      <protection hidden="1"/>
    </xf>
    <xf numFmtId="177" fontId="8" fillId="5" borderId="9" xfId="49" applyNumberFormat="1" applyFont="1" applyFill="1" applyBorder="1" applyAlignment="1" applyProtection="1">
      <alignment horizontal="center" vertical="center"/>
      <protection hidden="1"/>
    </xf>
    <xf numFmtId="176" fontId="8" fillId="5" borderId="8" xfId="49" applyNumberFormat="1" applyFont="1" applyFill="1" applyBorder="1" applyAlignment="1" applyProtection="1">
      <alignment horizontal="center" vertical="center"/>
      <protection hidden="1"/>
    </xf>
    <xf numFmtId="176" fontId="8" fillId="5" borderId="10" xfId="49" applyNumberFormat="1" applyFont="1" applyFill="1" applyBorder="1" applyAlignment="1" applyProtection="1">
      <alignment horizontal="center" vertical="center"/>
      <protection hidden="1"/>
    </xf>
    <xf numFmtId="0" fontId="8" fillId="0" borderId="11" xfId="49" applyFont="1" applyBorder="1" applyAlignment="1" applyProtection="1">
      <alignment horizontal="center" vertical="center"/>
      <protection hidden="1"/>
    </xf>
    <xf numFmtId="0" fontId="8" fillId="0" borderId="12" xfId="49" applyFont="1" applyBorder="1" applyAlignment="1" applyProtection="1">
      <alignment horizontal="center" vertical="center"/>
      <protection hidden="1"/>
    </xf>
    <xf numFmtId="177" fontId="8" fillId="7" borderId="8" xfId="49" applyNumberFormat="1" applyFont="1" applyFill="1" applyBorder="1" applyAlignment="1" applyProtection="1">
      <alignment horizontal="center" vertical="center"/>
      <protection hidden="1"/>
    </xf>
    <xf numFmtId="177" fontId="8" fillId="7" borderId="10" xfId="49" applyNumberFormat="1" applyFont="1" applyFill="1" applyBorder="1" applyAlignment="1" applyProtection="1">
      <alignment horizontal="center" vertical="center"/>
      <protection hidden="1"/>
    </xf>
    <xf numFmtId="176" fontId="8" fillId="4" borderId="10" xfId="49" applyNumberFormat="1" applyFont="1" applyFill="1" applyBorder="1" applyAlignment="1" applyProtection="1">
      <alignment horizontal="left" vertical="center"/>
      <protection hidden="1"/>
    </xf>
    <xf numFmtId="0" fontId="8" fillId="0" borderId="0" xfId="49" applyFont="1" applyAlignment="1" applyProtection="1">
      <alignment horizontal="left" vertical="center"/>
      <protection hidden="1"/>
    </xf>
    <xf numFmtId="177" fontId="8" fillId="6" borderId="7" xfId="49" applyNumberFormat="1" applyFont="1" applyFill="1" applyBorder="1" applyAlignment="1" applyProtection="1">
      <alignment horizontal="center" vertical="center"/>
      <protection hidden="1"/>
    </xf>
    <xf numFmtId="177" fontId="8" fillId="4" borderId="8" xfId="49" applyNumberFormat="1" applyFont="1" applyFill="1" applyBorder="1" applyAlignment="1" applyProtection="1">
      <alignment horizontal="center" vertical="center"/>
      <protection hidden="1"/>
    </xf>
    <xf numFmtId="177" fontId="8" fillId="4" borderId="9" xfId="49" applyNumberFormat="1" applyFont="1" applyFill="1" applyBorder="1" applyAlignment="1" applyProtection="1">
      <alignment horizontal="center" vertical="center"/>
      <protection hidden="1"/>
    </xf>
    <xf numFmtId="177" fontId="8" fillId="4" borderId="10" xfId="49" applyNumberFormat="1" applyFont="1" applyFill="1" applyBorder="1" applyAlignment="1" applyProtection="1">
      <alignment horizontal="center" vertical="center"/>
      <protection hidden="1"/>
    </xf>
    <xf numFmtId="0" fontId="8" fillId="0" borderId="25" xfId="49" applyFont="1" applyBorder="1" applyAlignment="1" applyProtection="1">
      <alignment horizontal="center" vertical="center"/>
      <protection hidden="1"/>
    </xf>
    <xf numFmtId="177" fontId="8" fillId="7" borderId="7" xfId="49" applyNumberFormat="1" applyFont="1" applyFill="1" applyBorder="1" applyAlignment="1" applyProtection="1">
      <alignment horizontal="center" vertical="center"/>
      <protection hidden="1"/>
    </xf>
    <xf numFmtId="177" fontId="8" fillId="7" borderId="9" xfId="49" applyNumberFormat="1" applyFont="1" applyFill="1" applyBorder="1" applyAlignment="1" applyProtection="1">
      <alignment horizontal="center" vertical="center"/>
      <protection hidden="1"/>
    </xf>
    <xf numFmtId="0" fontId="8" fillId="0" borderId="0" xfId="49" applyFont="1" applyProtection="1">
      <alignment vertical="center"/>
      <protection locked="0" hidden="1"/>
    </xf>
    <xf numFmtId="177" fontId="8" fillId="0" borderId="0" xfId="49" applyNumberFormat="1" applyFont="1" applyProtection="1">
      <alignment vertical="center"/>
      <protection locked="0"/>
    </xf>
    <xf numFmtId="0" fontId="11" fillId="8" borderId="27" xfId="49" applyFont="1" applyFill="1" applyBorder="1" applyAlignment="1" applyProtection="1">
      <alignment horizontal="center" vertical="center"/>
      <protection hidden="1"/>
    </xf>
    <xf numFmtId="0" fontId="11" fillId="8" borderId="28" xfId="49" applyFont="1" applyFill="1" applyBorder="1" applyAlignment="1" applyProtection="1">
      <alignment horizontal="center" vertical="center"/>
      <protection hidden="1"/>
    </xf>
    <xf numFmtId="179" fontId="8" fillId="7" borderId="8" xfId="49" applyNumberFormat="1" applyFont="1" applyFill="1" applyBorder="1" applyAlignment="1" applyProtection="1">
      <alignment horizontal="center" vertical="center"/>
      <protection hidden="1"/>
    </xf>
    <xf numFmtId="179" fontId="8" fillId="7" borderId="9" xfId="49" applyNumberFormat="1" applyFont="1" applyFill="1" applyBorder="1" applyAlignment="1" applyProtection="1">
      <alignment horizontal="center" vertical="center"/>
      <protection hidden="1"/>
    </xf>
    <xf numFmtId="179" fontId="8" fillId="7" borderId="10" xfId="49" applyNumberFormat="1" applyFont="1" applyFill="1" applyBorder="1" applyAlignment="1" applyProtection="1">
      <alignment horizontal="center" vertical="center"/>
      <protection hidden="1"/>
    </xf>
    <xf numFmtId="180" fontId="8" fillId="0" borderId="0" xfId="49" applyNumberFormat="1" applyFont="1" applyAlignment="1" applyProtection="1">
      <alignment horizontal="center" vertical="center" wrapText="1"/>
      <protection hidden="1"/>
    </xf>
    <xf numFmtId="0" fontId="11" fillId="8" borderId="29" xfId="49" applyFont="1" applyFill="1" applyBorder="1" applyAlignment="1" applyProtection="1">
      <alignment horizontal="center" vertical="center"/>
      <protection hidden="1"/>
    </xf>
    <xf numFmtId="0" fontId="11" fillId="8" borderId="30" xfId="49" applyFont="1" applyFill="1" applyBorder="1" applyAlignment="1" applyProtection="1">
      <alignment horizontal="center" vertical="center"/>
      <protection hidden="1"/>
    </xf>
    <xf numFmtId="180" fontId="8" fillId="7" borderId="8" xfId="49" applyNumberFormat="1" applyFont="1" applyFill="1" applyBorder="1" applyAlignment="1" applyProtection="1">
      <alignment horizontal="center" vertical="center"/>
      <protection hidden="1"/>
    </xf>
    <xf numFmtId="180" fontId="8" fillId="7" borderId="9" xfId="49" applyNumberFormat="1" applyFont="1" applyFill="1" applyBorder="1" applyAlignment="1" applyProtection="1">
      <alignment horizontal="center" vertical="center"/>
      <protection hidden="1"/>
    </xf>
    <xf numFmtId="180" fontId="8" fillId="7" borderId="10" xfId="49" applyNumberFormat="1" applyFont="1" applyFill="1" applyBorder="1" applyAlignment="1" applyProtection="1">
      <alignment horizontal="center" vertical="center"/>
      <protection hidden="1"/>
    </xf>
    <xf numFmtId="10" fontId="8" fillId="7" borderId="31" xfId="49" applyNumberFormat="1" applyFont="1" applyFill="1" applyBorder="1" applyAlignment="1" applyProtection="1">
      <alignment horizontal="center" vertical="center"/>
      <protection hidden="1"/>
    </xf>
    <xf numFmtId="10" fontId="8" fillId="7" borderId="26" xfId="49" applyNumberFormat="1" applyFont="1" applyFill="1" applyBorder="1" applyAlignment="1" applyProtection="1">
      <alignment horizontal="center" vertical="center"/>
      <protection hidden="1"/>
    </xf>
    <xf numFmtId="10" fontId="8" fillId="7" borderId="22" xfId="49" applyNumberFormat="1" applyFont="1" applyFill="1" applyBorder="1" applyAlignment="1" applyProtection="1">
      <alignment horizontal="center" vertical="center"/>
      <protection hidden="1"/>
    </xf>
    <xf numFmtId="180" fontId="8" fillId="0" borderId="0" xfId="49" applyNumberFormat="1" applyFont="1" applyAlignment="1" applyProtection="1">
      <alignment horizontal="center" vertical="center"/>
      <protection hidden="1"/>
    </xf>
    <xf numFmtId="177" fontId="8" fillId="0" borderId="0" xfId="49" applyNumberFormat="1" applyFont="1" applyAlignment="1" applyProtection="1">
      <alignment vertical="center" wrapText="1"/>
      <protection hidden="1"/>
    </xf>
    <xf numFmtId="0" fontId="11" fillId="8" borderId="32" xfId="49" applyFont="1" applyFill="1" applyBorder="1" applyAlignment="1" applyProtection="1">
      <alignment horizontal="center" vertical="center"/>
      <protection hidden="1"/>
    </xf>
    <xf numFmtId="0" fontId="11" fillId="8" borderId="33" xfId="49" applyFont="1" applyFill="1" applyBorder="1" applyAlignment="1" applyProtection="1">
      <alignment horizontal="center" vertical="center"/>
      <protection hidden="1"/>
    </xf>
    <xf numFmtId="10" fontId="8" fillId="7" borderId="8" xfId="49" applyNumberFormat="1" applyFont="1" applyFill="1" applyBorder="1" applyAlignment="1" applyProtection="1">
      <alignment horizontal="center" vertical="center"/>
      <protection hidden="1"/>
    </xf>
    <xf numFmtId="10" fontId="8" fillId="7" borderId="9" xfId="49" applyNumberFormat="1" applyFont="1" applyFill="1" applyBorder="1" applyAlignment="1" applyProtection="1">
      <alignment horizontal="center" vertical="center"/>
      <protection hidden="1"/>
    </xf>
    <xf numFmtId="10" fontId="8" fillId="7" borderId="10" xfId="49" applyNumberFormat="1" applyFont="1" applyFill="1" applyBorder="1" applyAlignment="1" applyProtection="1">
      <alignment horizontal="center" vertical="center"/>
      <protection hidden="1"/>
    </xf>
    <xf numFmtId="0" fontId="11" fillId="8" borderId="9" xfId="49" applyFont="1" applyFill="1" applyBorder="1" applyAlignment="1" applyProtection="1">
      <alignment horizontal="center" vertical="center"/>
      <protection hidden="1"/>
    </xf>
    <xf numFmtId="181" fontId="8" fillId="7" borderId="0" xfId="49" applyNumberFormat="1" applyFont="1" applyFill="1" applyBorder="1" applyAlignment="1" applyProtection="1">
      <alignment horizontal="center" vertical="center"/>
      <protection hidden="1"/>
    </xf>
    <xf numFmtId="180" fontId="8" fillId="9" borderId="8" xfId="49" applyNumberFormat="1" applyFont="1" applyFill="1" applyBorder="1" applyAlignment="1" applyProtection="1">
      <alignment horizontal="center" vertical="center"/>
      <protection locked="0"/>
    </xf>
    <xf numFmtId="180" fontId="8" fillId="9" borderId="9" xfId="49" applyNumberFormat="1" applyFont="1" applyFill="1" applyBorder="1" applyAlignment="1" applyProtection="1">
      <alignment horizontal="center" vertical="center"/>
      <protection locked="0"/>
    </xf>
    <xf numFmtId="180" fontId="8" fillId="9" borderId="10" xfId="49" applyNumberFormat="1" applyFont="1" applyFill="1" applyBorder="1" applyAlignment="1" applyProtection="1">
      <alignment horizontal="center" vertical="center"/>
      <protection locked="0"/>
    </xf>
    <xf numFmtId="0" fontId="11" fillId="10" borderId="8" xfId="49" applyFont="1" applyFill="1" applyBorder="1" applyAlignment="1" applyProtection="1">
      <alignment horizontal="center" vertical="center"/>
      <protection locked="0"/>
    </xf>
    <xf numFmtId="0" fontId="11" fillId="10" borderId="9" xfId="49" applyFont="1" applyFill="1" applyBorder="1" applyAlignment="1" applyProtection="1">
      <alignment horizontal="center" vertical="center"/>
      <protection locked="0"/>
    </xf>
    <xf numFmtId="0" fontId="11" fillId="10" borderId="19" xfId="49" applyFont="1" applyFill="1" applyBorder="1" applyAlignment="1" applyProtection="1">
      <alignment horizontal="center" vertical="center"/>
      <protection locked="0"/>
    </xf>
    <xf numFmtId="0" fontId="11" fillId="0" borderId="11" xfId="49" applyFont="1" applyFill="1" applyBorder="1" applyAlignment="1" applyProtection="1">
      <alignment horizontal="center" vertical="center"/>
      <protection locked="0"/>
    </xf>
    <xf numFmtId="0" fontId="11" fillId="0" borderId="0" xfId="49" applyFont="1" applyFill="1" applyBorder="1" applyAlignment="1" applyProtection="1">
      <alignment horizontal="center" vertical="center"/>
      <protection locked="0"/>
    </xf>
    <xf numFmtId="0" fontId="11" fillId="0" borderId="16" xfId="49" applyFont="1" applyFill="1" applyBorder="1" applyAlignment="1" applyProtection="1">
      <alignment horizontal="center" vertical="center"/>
      <protection locked="0"/>
    </xf>
    <xf numFmtId="176" fontId="11" fillId="11" borderId="14" xfId="49" applyNumberFormat="1" applyFont="1" applyFill="1" applyBorder="1" applyAlignment="1" applyProtection="1">
      <alignment horizontal="center" vertical="center"/>
      <protection locked="0"/>
    </xf>
    <xf numFmtId="0" fontId="11" fillId="11" borderId="16" xfId="49" applyFont="1" applyFill="1" applyBorder="1" applyAlignment="1" applyProtection="1">
      <alignment horizontal="center" vertical="center"/>
      <protection locked="0"/>
    </xf>
    <xf numFmtId="0" fontId="11" fillId="11" borderId="25" xfId="49" applyFont="1" applyFill="1" applyBorder="1" applyAlignment="1" applyProtection="1">
      <alignment horizontal="center" vertical="center"/>
      <protection locked="0"/>
    </xf>
    <xf numFmtId="9" fontId="8" fillId="0" borderId="3" xfId="49" applyNumberFormat="1" applyFont="1" applyBorder="1" applyAlignment="1" applyProtection="1">
      <alignment horizontal="center" vertical="center"/>
      <protection hidden="1"/>
    </xf>
    <xf numFmtId="9" fontId="8" fillId="0" borderId="34" xfId="49" applyNumberFormat="1" applyFont="1" applyBorder="1" applyAlignment="1" applyProtection="1">
      <alignment horizontal="center" vertical="center"/>
      <protection hidden="1"/>
    </xf>
    <xf numFmtId="9" fontId="8" fillId="0" borderId="7" xfId="49" applyNumberFormat="1" applyFont="1" applyBorder="1" applyAlignment="1" applyProtection="1">
      <alignment horizontal="center" vertical="center"/>
      <protection hidden="1"/>
    </xf>
    <xf numFmtId="9" fontId="8" fillId="0" borderId="21" xfId="49" applyNumberFormat="1" applyFont="1" applyBorder="1" applyAlignment="1" applyProtection="1">
      <alignment horizontal="center" vertical="center"/>
      <protection hidden="1"/>
    </xf>
    <xf numFmtId="9" fontId="8" fillId="0" borderId="22" xfId="49" applyNumberFormat="1" applyFont="1" applyBorder="1" applyAlignment="1" applyProtection="1">
      <alignment horizontal="center" vertical="center"/>
      <protection hidden="1"/>
    </xf>
    <xf numFmtId="0" fontId="8" fillId="0" borderId="21" xfId="49" applyFont="1" applyBorder="1" applyAlignment="1" applyProtection="1">
      <alignment horizontal="center" vertical="center"/>
      <protection hidden="1"/>
    </xf>
    <xf numFmtId="0" fontId="8" fillId="0" borderId="22" xfId="49" applyFont="1" applyBorder="1" applyAlignment="1" applyProtection="1">
      <alignment horizontal="center" vertical="center"/>
      <protection hidden="1"/>
    </xf>
    <xf numFmtId="0" fontId="11" fillId="8" borderId="8" xfId="49" applyFont="1" applyFill="1" applyBorder="1" applyAlignment="1" applyProtection="1">
      <alignment horizontal="center" vertical="center" wrapText="1"/>
      <protection hidden="1"/>
    </xf>
    <xf numFmtId="0" fontId="11" fillId="8" borderId="10" xfId="49" applyFont="1" applyFill="1" applyBorder="1" applyAlignment="1" applyProtection="1">
      <alignment horizontal="center" vertical="center" wrapText="1"/>
      <protection hidden="1"/>
    </xf>
    <xf numFmtId="177" fontId="8" fillId="7" borderId="0" xfId="49" applyNumberFormat="1" applyFont="1" applyFill="1" applyBorder="1" applyAlignment="1" applyProtection="1">
      <alignment horizontal="center" vertical="center"/>
      <protection hidden="1"/>
    </xf>
    <xf numFmtId="10" fontId="8" fillId="9" borderId="8" xfId="49" applyNumberFormat="1" applyFont="1" applyFill="1" applyBorder="1" applyAlignment="1" applyProtection="1">
      <alignment horizontal="center" vertical="center"/>
      <protection locked="0"/>
    </xf>
    <xf numFmtId="10" fontId="8" fillId="9" borderId="9" xfId="49" applyNumberFormat="1" applyFont="1" applyFill="1" applyBorder="1" applyAlignment="1" applyProtection="1">
      <alignment horizontal="center" vertical="center"/>
      <protection locked="0"/>
    </xf>
    <xf numFmtId="10" fontId="8" fillId="9" borderId="10" xfId="49" applyNumberFormat="1" applyFont="1" applyFill="1" applyBorder="1" applyAlignment="1" applyProtection="1">
      <alignment horizontal="center" vertical="center"/>
      <protection locked="0"/>
    </xf>
    <xf numFmtId="0" fontId="18" fillId="0" borderId="0" xfId="49" applyFont="1" applyAlignment="1" applyProtection="1">
      <alignment horizontal="left" vertical="center"/>
      <protection locked="0"/>
    </xf>
    <xf numFmtId="0" fontId="8" fillId="0" borderId="0" xfId="49" applyFont="1" applyAlignment="1" applyProtection="1">
      <alignment horizontal="left" vertical="center"/>
      <protection locked="0"/>
    </xf>
    <xf numFmtId="0" fontId="18" fillId="0" borderId="0" xfId="49" applyFont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20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1" fillId="0" borderId="27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20" fillId="0" borderId="19" xfId="0" applyFont="1" applyBorder="1">
      <alignment vertical="center"/>
    </xf>
    <xf numFmtId="0" fontId="22" fillId="12" borderId="5" xfId="0" applyFont="1" applyFill="1" applyBorder="1" applyAlignment="1">
      <alignment horizontal="center" vertical="center" wrapText="1"/>
    </xf>
    <xf numFmtId="0" fontId="22" fillId="12" borderId="36" xfId="0" applyFont="1" applyFill="1" applyBorder="1" applyAlignment="1">
      <alignment horizontal="center" vertical="center" wrapText="1"/>
    </xf>
    <xf numFmtId="0" fontId="22" fillId="12" borderId="37" xfId="0" applyFont="1" applyFill="1" applyBorder="1" applyAlignment="1">
      <alignment horizontal="center" vertical="center" wrapText="1"/>
    </xf>
    <xf numFmtId="0" fontId="22" fillId="12" borderId="38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 applyProtection="1">
      <alignment horizontal="center" vertical="center" wrapText="1"/>
      <protection locked="0"/>
    </xf>
    <xf numFmtId="0" fontId="25" fillId="0" borderId="39" xfId="0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57" fontId="24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24" fillId="3" borderId="5" xfId="0" applyFont="1" applyFill="1" applyBorder="1" applyAlignment="1">
      <alignment horizontal="center" vertical="center" wrapText="1"/>
    </xf>
    <xf numFmtId="179" fontId="24" fillId="3" borderId="5" xfId="0" applyNumberFormat="1" applyFont="1" applyFill="1" applyBorder="1" applyAlignment="1">
      <alignment horizontal="center" vertical="center" wrapText="1"/>
    </xf>
    <xf numFmtId="0" fontId="24" fillId="5" borderId="5" xfId="0" applyFont="1" applyFill="1" applyBorder="1" applyAlignment="1" applyProtection="1">
      <alignment horizontal="center" vertical="center" wrapText="1"/>
      <protection locked="0"/>
    </xf>
    <xf numFmtId="0" fontId="25" fillId="0" borderId="37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176" fontId="24" fillId="5" borderId="5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41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10" fontId="24" fillId="13" borderId="5" xfId="49" applyNumberFormat="1" applyFont="1" applyFill="1" applyBorder="1" applyAlignment="1">
      <alignment horizontal="center" vertical="center" wrapText="1"/>
    </xf>
    <xf numFmtId="176" fontId="24" fillId="13" borderId="5" xfId="49" applyNumberFormat="1" applyFont="1" applyFill="1" applyBorder="1" applyAlignment="1">
      <alignment horizontal="center" vertical="center" wrapText="1"/>
    </xf>
    <xf numFmtId="10" fontId="24" fillId="14" borderId="5" xfId="49" applyNumberFormat="1" applyFont="1" applyFill="1" applyBorder="1" applyAlignment="1">
      <alignment horizontal="center" vertical="center" wrapText="1"/>
    </xf>
    <xf numFmtId="180" fontId="24" fillId="13" borderId="5" xfId="49" applyNumberFormat="1" applyFont="1" applyFill="1" applyBorder="1" applyAlignment="1">
      <alignment horizontal="center" vertical="center" wrapText="1"/>
    </xf>
    <xf numFmtId="10" fontId="24" fillId="14" borderId="36" xfId="49" applyNumberFormat="1" applyFont="1" applyFill="1" applyBorder="1" applyAlignment="1">
      <alignment horizontal="center" vertical="center" wrapText="1"/>
    </xf>
    <xf numFmtId="180" fontId="24" fillId="14" borderId="45" xfId="49" applyNumberFormat="1" applyFont="1" applyFill="1" applyBorder="1" applyAlignment="1">
      <alignment horizontal="center" vertical="center" wrapText="1"/>
    </xf>
    <xf numFmtId="10" fontId="24" fillId="14" borderId="45" xfId="49" applyNumberFormat="1" applyFont="1" applyFill="1" applyBorder="1" applyAlignment="1">
      <alignment horizontal="center" vertical="center" wrapText="1"/>
    </xf>
    <xf numFmtId="0" fontId="22" fillId="12" borderId="46" xfId="0" applyFont="1" applyFill="1" applyBorder="1" applyAlignment="1">
      <alignment horizontal="left" vertical="center" wrapText="1"/>
    </xf>
    <xf numFmtId="0" fontId="22" fillId="12" borderId="45" xfId="0" applyFont="1" applyFill="1" applyBorder="1" applyAlignment="1">
      <alignment horizontal="left" vertical="center" wrapText="1"/>
    </xf>
    <xf numFmtId="0" fontId="27" fillId="0" borderId="21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81" fontId="21" fillId="0" borderId="43" xfId="0" applyNumberFormat="1" applyFont="1" applyFill="1" applyBorder="1" applyAlignment="1" applyProtection="1">
      <alignment horizontal="center" vertical="center" wrapText="1"/>
    </xf>
    <xf numFmtId="181" fontId="21" fillId="0" borderId="50" xfId="0" applyNumberFormat="1" applyFont="1" applyFill="1" applyBorder="1" applyAlignment="1" applyProtection="1">
      <alignment horizontal="center" vertical="center" wrapText="1"/>
    </xf>
    <xf numFmtId="181" fontId="21" fillId="0" borderId="0" xfId="0" applyNumberFormat="1" applyFont="1" applyFill="1" applyBorder="1" applyAlignment="1" applyProtection="1">
      <alignment horizontal="center" vertical="center" wrapText="1"/>
    </xf>
    <xf numFmtId="0" fontId="22" fillId="12" borderId="46" xfId="0" applyFont="1" applyFill="1" applyBorder="1" applyAlignment="1">
      <alignment horizontal="center" vertical="center" wrapText="1"/>
    </xf>
    <xf numFmtId="0" fontId="22" fillId="12" borderId="18" xfId="0" applyFont="1" applyFill="1" applyBorder="1" applyAlignment="1">
      <alignment horizontal="center" vertical="center" wrapText="1"/>
    </xf>
    <xf numFmtId="0" fontId="22" fillId="12" borderId="19" xfId="0" applyFont="1" applyFill="1" applyBorder="1" applyAlignment="1">
      <alignment horizontal="center" vertical="center" wrapText="1"/>
    </xf>
    <xf numFmtId="181" fontId="26" fillId="0" borderId="41" xfId="0" applyNumberFormat="1" applyFont="1" applyFill="1" applyBorder="1" applyAlignment="1" applyProtection="1">
      <alignment horizontal="center" vertical="center" wrapText="1"/>
    </xf>
    <xf numFmtId="181" fontId="24" fillId="15" borderId="5" xfId="0" applyNumberFormat="1" applyFont="1" applyFill="1" applyBorder="1" applyAlignment="1" applyProtection="1">
      <alignment horizontal="center" vertical="center" wrapText="1"/>
    </xf>
    <xf numFmtId="181" fontId="21" fillId="0" borderId="41" xfId="0" applyNumberFormat="1" applyFont="1" applyFill="1" applyBorder="1" applyAlignment="1" applyProtection="1">
      <alignment horizontal="center" vertical="center" wrapText="1"/>
    </xf>
    <xf numFmtId="181" fontId="21" fillId="0" borderId="42" xfId="0" applyNumberFormat="1" applyFont="1" applyFill="1" applyBorder="1" applyAlignment="1" applyProtection="1">
      <alignment horizontal="center" vertical="center" wrapText="1"/>
    </xf>
    <xf numFmtId="0" fontId="23" fillId="0" borderId="48" xfId="0" applyFont="1" applyBorder="1" applyAlignment="1" applyProtection="1">
      <alignment horizontal="center" vertical="center"/>
      <protection locked="0"/>
    </xf>
    <xf numFmtId="0" fontId="19" fillId="16" borderId="32" xfId="0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center" vertical="center"/>
      <protection locked="0"/>
    </xf>
    <xf numFmtId="0" fontId="23" fillId="0" borderId="49" xfId="0" applyFont="1" applyFill="1" applyBorder="1" applyAlignment="1" applyProtection="1">
      <alignment horizontal="center" vertical="center"/>
      <protection locked="0"/>
    </xf>
    <xf numFmtId="0" fontId="28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left" vertical="center" wrapText="1"/>
    </xf>
    <xf numFmtId="0" fontId="29" fillId="3" borderId="4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left" vertical="center" wrapText="1"/>
    </xf>
    <xf numFmtId="0" fontId="29" fillId="3" borderId="4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/>
    </xf>
    <xf numFmtId="0" fontId="30" fillId="3" borderId="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Normal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22"/>
  <sheetViews>
    <sheetView workbookViewId="0">
      <selection activeCell="E21" sqref="E21:F21"/>
    </sheetView>
  </sheetViews>
  <sheetFormatPr defaultColWidth="9" defaultRowHeight="13.6" outlineLevelCol="7"/>
  <cols>
    <col min="1" max="1" width="8.77884615384615" style="255" customWidth="1"/>
    <col min="2" max="2" width="19.6634615384615" style="255" customWidth="1"/>
    <col min="3" max="3" width="16.6634615384615" style="255" customWidth="1"/>
    <col min="4" max="4" width="26.6634615384615" style="255" customWidth="1"/>
    <col min="5" max="5" width="40.8846153846154" style="256" customWidth="1"/>
    <col min="6" max="7" width="5" style="255" customWidth="1"/>
    <col min="8" max="8" width="57.1153846153846" style="255" customWidth="1"/>
    <col min="9" max="16" width="5" style="255" customWidth="1"/>
    <col min="17" max="16384" width="9" style="255"/>
  </cols>
  <sheetData>
    <row r="1" s="254" customFormat="1" ht="15.2" spans="1:8">
      <c r="A1" s="257" t="s">
        <v>0</v>
      </c>
      <c r="B1" s="257"/>
      <c r="C1" s="257"/>
      <c r="D1" s="257"/>
      <c r="E1" s="258"/>
      <c r="F1" s="259"/>
      <c r="G1" s="259"/>
      <c r="H1" s="259"/>
    </row>
    <row r="2" ht="15.2" spans="1:8">
      <c r="A2" s="260" t="s">
        <v>1</v>
      </c>
      <c r="B2" s="260"/>
      <c r="C2" s="260"/>
      <c r="D2" s="260"/>
      <c r="E2" s="260"/>
      <c r="F2" s="260"/>
      <c r="G2" s="260"/>
      <c r="H2" s="260"/>
    </row>
    <row r="3" ht="16" spans="1:8">
      <c r="A3" s="260" t="s">
        <v>2</v>
      </c>
      <c r="B3" s="260"/>
      <c r="C3" s="260"/>
      <c r="D3" s="260"/>
      <c r="E3" s="260"/>
      <c r="F3" s="260"/>
      <c r="G3" s="260"/>
      <c r="H3" s="260"/>
    </row>
    <row r="4" ht="34.2" customHeight="1" spans="1:8">
      <c r="A4" s="261" t="s">
        <v>3</v>
      </c>
      <c r="B4" s="261"/>
      <c r="C4" s="261"/>
      <c r="D4" s="261"/>
      <c r="E4" s="261"/>
      <c r="F4" s="261"/>
      <c r="G4" s="261"/>
      <c r="H4" s="261"/>
    </row>
    <row r="5" ht="67" customHeight="1" spans="1:8">
      <c r="A5" s="261" t="s">
        <v>4</v>
      </c>
      <c r="B5" s="261"/>
      <c r="C5" s="261"/>
      <c r="D5" s="261"/>
      <c r="E5" s="261"/>
      <c r="F5" s="261"/>
      <c r="G5" s="261"/>
      <c r="H5" s="261"/>
    </row>
    <row r="6" ht="15.2" spans="1:8">
      <c r="A6" s="260" t="s">
        <v>5</v>
      </c>
      <c r="B6" s="260"/>
      <c r="C6" s="260"/>
      <c r="D6" s="260"/>
      <c r="E6" s="260"/>
      <c r="F6" s="262"/>
      <c r="G6" s="262"/>
      <c r="H6" s="262"/>
    </row>
    <row r="7" ht="15.2" spans="1:8">
      <c r="A7" s="257" t="s">
        <v>6</v>
      </c>
      <c r="B7" s="262"/>
      <c r="C7" s="262"/>
      <c r="D7" s="262"/>
      <c r="E7" s="263"/>
      <c r="F7" s="262"/>
      <c r="G7" s="262"/>
      <c r="H7" s="262"/>
    </row>
    <row r="8" ht="15.2" spans="1:8">
      <c r="A8" s="264" t="s">
        <v>7</v>
      </c>
      <c r="B8" s="264" t="s">
        <v>8</v>
      </c>
      <c r="C8" s="264" t="s">
        <v>9</v>
      </c>
      <c r="D8" s="264" t="s">
        <v>10</v>
      </c>
      <c r="E8" s="264" t="s">
        <v>11</v>
      </c>
      <c r="F8" s="262"/>
      <c r="G8" s="262"/>
      <c r="H8" s="262"/>
    </row>
    <row r="9" ht="15.2" spans="1:8">
      <c r="A9" s="265">
        <v>1</v>
      </c>
      <c r="B9" s="264" t="s">
        <v>12</v>
      </c>
      <c r="C9" s="265" t="s">
        <v>13</v>
      </c>
      <c r="D9" s="266" t="s">
        <v>14</v>
      </c>
      <c r="E9" s="267" t="s">
        <v>15</v>
      </c>
      <c r="F9" s="262"/>
      <c r="G9" s="262"/>
      <c r="H9" s="262"/>
    </row>
    <row r="10" ht="15.2" spans="1:8">
      <c r="A10" s="268"/>
      <c r="B10" s="264"/>
      <c r="C10" s="268"/>
      <c r="D10" s="266"/>
      <c r="E10" s="267"/>
      <c r="F10" s="262"/>
      <c r="G10" s="262"/>
      <c r="H10" s="262"/>
    </row>
    <row r="11" ht="61" spans="1:8">
      <c r="A11" s="268">
        <v>2</v>
      </c>
      <c r="B11" s="264" t="s">
        <v>16</v>
      </c>
      <c r="C11" s="264" t="s">
        <v>13</v>
      </c>
      <c r="D11" s="267" t="s">
        <v>17</v>
      </c>
      <c r="E11" s="267" t="s">
        <v>18</v>
      </c>
      <c r="F11" s="262"/>
      <c r="G11" s="262"/>
      <c r="H11" s="262"/>
    </row>
    <row r="12" ht="31" spans="1:8">
      <c r="A12" s="269">
        <v>3</v>
      </c>
      <c r="B12" s="269" t="s">
        <v>19</v>
      </c>
      <c r="C12" s="264" t="s">
        <v>13</v>
      </c>
      <c r="D12" s="267" t="s">
        <v>20</v>
      </c>
      <c r="E12" s="267" t="s">
        <v>21</v>
      </c>
      <c r="F12" s="262"/>
      <c r="G12" s="262"/>
      <c r="H12" s="262"/>
    </row>
    <row r="13" ht="15.2" spans="1:8">
      <c r="A13" s="270">
        <v>4</v>
      </c>
      <c r="B13" s="270" t="s">
        <v>22</v>
      </c>
      <c r="C13" s="265" t="s">
        <v>13</v>
      </c>
      <c r="D13" s="271" t="s">
        <v>23</v>
      </c>
      <c r="E13" s="271" t="s">
        <v>24</v>
      </c>
      <c r="F13" s="262"/>
      <c r="G13" s="262"/>
      <c r="H13" s="262"/>
    </row>
    <row r="14" ht="30.6" customHeight="1" spans="1:8">
      <c r="A14" s="272"/>
      <c r="B14" s="272"/>
      <c r="C14" s="273"/>
      <c r="D14" s="274"/>
      <c r="E14" s="274"/>
      <c r="F14" s="262"/>
      <c r="G14" s="262"/>
      <c r="H14" s="262"/>
    </row>
    <row r="15" ht="61" spans="1:8">
      <c r="A15" s="264">
        <v>5</v>
      </c>
      <c r="B15" s="264" t="s">
        <v>25</v>
      </c>
      <c r="C15" s="264" t="s">
        <v>26</v>
      </c>
      <c r="D15" s="267" t="s">
        <v>27</v>
      </c>
      <c r="E15" s="267" t="s">
        <v>28</v>
      </c>
      <c r="F15" s="262"/>
      <c r="G15" s="262"/>
      <c r="H15" s="262"/>
    </row>
    <row r="16" ht="31" spans="1:8">
      <c r="A16" s="264">
        <v>6</v>
      </c>
      <c r="B16" s="264" t="s">
        <v>29</v>
      </c>
      <c r="C16" s="264" t="s">
        <v>30</v>
      </c>
      <c r="D16" s="267" t="s">
        <v>31</v>
      </c>
      <c r="E16" s="267" t="s">
        <v>32</v>
      </c>
      <c r="F16" s="262"/>
      <c r="G16" s="262"/>
      <c r="H16" s="262"/>
    </row>
    <row r="17" ht="46" spans="1:5">
      <c r="A17" s="264">
        <v>7</v>
      </c>
      <c r="B17" s="264" t="s">
        <v>33</v>
      </c>
      <c r="C17" s="264" t="s">
        <v>13</v>
      </c>
      <c r="D17" s="267" t="s">
        <v>34</v>
      </c>
      <c r="E17" s="267" t="s">
        <v>35</v>
      </c>
    </row>
    <row r="18" ht="31" spans="1:5">
      <c r="A18" s="264">
        <v>8</v>
      </c>
      <c r="B18" s="269" t="s">
        <v>36</v>
      </c>
      <c r="C18" s="264" t="s">
        <v>13</v>
      </c>
      <c r="D18" s="275" t="s">
        <v>37</v>
      </c>
      <c r="E18" s="267" t="s">
        <v>38</v>
      </c>
    </row>
    <row r="19" ht="46" spans="1:5">
      <c r="A19" s="264">
        <v>9</v>
      </c>
      <c r="B19" s="269" t="s">
        <v>39</v>
      </c>
      <c r="C19" s="264" t="s">
        <v>26</v>
      </c>
      <c r="D19" s="275" t="s">
        <v>40</v>
      </c>
      <c r="E19" s="267" t="s">
        <v>41</v>
      </c>
    </row>
    <row r="20" ht="31" spans="1:5">
      <c r="A20" s="264">
        <v>10</v>
      </c>
      <c r="B20" s="269" t="s">
        <v>42</v>
      </c>
      <c r="C20" s="264" t="s">
        <v>26</v>
      </c>
      <c r="D20" s="275" t="s">
        <v>43</v>
      </c>
      <c r="E20" s="267" t="s">
        <v>44</v>
      </c>
    </row>
    <row r="21" ht="46" spans="1:5">
      <c r="A21" s="264">
        <v>11</v>
      </c>
      <c r="B21" s="269" t="s">
        <v>45</v>
      </c>
      <c r="C21" s="264" t="s">
        <v>26</v>
      </c>
      <c r="D21" s="275" t="s">
        <v>46</v>
      </c>
      <c r="E21" s="267" t="s">
        <v>47</v>
      </c>
    </row>
    <row r="22" ht="46" spans="1:5">
      <c r="A22" s="264">
        <v>12</v>
      </c>
      <c r="B22" s="269" t="s">
        <v>48</v>
      </c>
      <c r="C22" s="264" t="s">
        <v>26</v>
      </c>
      <c r="D22" s="275" t="s">
        <v>49</v>
      </c>
      <c r="E22" s="267" t="s">
        <v>50</v>
      </c>
    </row>
  </sheetData>
  <mergeCells count="15">
    <mergeCell ref="A2:H2"/>
    <mergeCell ref="A3:H3"/>
    <mergeCell ref="A4:H4"/>
    <mergeCell ref="A5:H5"/>
    <mergeCell ref="A6:E6"/>
    <mergeCell ref="A9:A10"/>
    <mergeCell ref="A13:A14"/>
    <mergeCell ref="B9:B10"/>
    <mergeCell ref="B13:B14"/>
    <mergeCell ref="C9:C10"/>
    <mergeCell ref="C13:C14"/>
    <mergeCell ref="D9:D10"/>
    <mergeCell ref="D13:D14"/>
    <mergeCell ref="E9:E10"/>
    <mergeCell ref="E13:E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D40"/>
  <sheetViews>
    <sheetView zoomScale="70" zoomScaleNormal="70" workbookViewId="0">
      <selection activeCell="B14" sqref="B13:B14"/>
    </sheetView>
  </sheetViews>
  <sheetFormatPr defaultColWidth="9" defaultRowHeight="17.6" outlineLevelCol="3"/>
  <cols>
    <col min="1" max="1" width="62.6634615384615" style="195" customWidth="1"/>
    <col min="2" max="2" width="88.7788461538462" style="196" customWidth="1"/>
    <col min="3" max="3" width="18.1153846153846" style="196" customWidth="1"/>
    <col min="4" max="4" width="9.24038461538461" style="196" customWidth="1"/>
    <col min="5" max="16384" width="9" style="196"/>
  </cols>
  <sheetData>
    <row r="1" ht="1.5" customHeight="1"/>
    <row r="2" ht="26.7" customHeight="1" spans="1:4">
      <c r="A2" s="197" t="s">
        <v>51</v>
      </c>
      <c r="B2" s="198"/>
      <c r="C2" s="198"/>
      <c r="D2" s="199"/>
    </row>
    <row r="3" ht="21.15" spans="1:4">
      <c r="A3" s="200" t="s">
        <v>52</v>
      </c>
      <c r="B3" s="201"/>
      <c r="C3" s="202" t="s">
        <v>53</v>
      </c>
      <c r="D3" s="203"/>
    </row>
    <row r="4" ht="16.95" customHeight="1" spans="1:4">
      <c r="A4" s="204" t="s">
        <v>54</v>
      </c>
      <c r="B4" s="205" t="s">
        <v>55</v>
      </c>
      <c r="C4" s="206"/>
      <c r="D4" s="207"/>
    </row>
    <row r="5" ht="16.95" customHeight="1" spans="1:4">
      <c r="A5" s="204" t="s">
        <v>56</v>
      </c>
      <c r="B5" s="205" t="s">
        <v>57</v>
      </c>
      <c r="C5" s="208"/>
      <c r="D5" s="209"/>
    </row>
    <row r="6" ht="16.95" customHeight="1" spans="1:4">
      <c r="A6" s="204" t="s">
        <v>58</v>
      </c>
      <c r="B6" s="210" t="s">
        <v>59</v>
      </c>
      <c r="C6" s="208"/>
      <c r="D6" s="209"/>
    </row>
    <row r="7" ht="16.95" customHeight="1" spans="1:4">
      <c r="A7" s="204" t="s">
        <v>60</v>
      </c>
      <c r="B7" s="211" t="s">
        <v>61</v>
      </c>
      <c r="C7" s="208"/>
      <c r="D7" s="209"/>
    </row>
    <row r="8" ht="16.95" customHeight="1" spans="1:4">
      <c r="A8" s="204" t="s">
        <v>62</v>
      </c>
      <c r="B8" s="212">
        <v>2</v>
      </c>
      <c r="C8" s="208"/>
      <c r="D8" s="209"/>
    </row>
    <row r="9" ht="16.95" customHeight="1" spans="1:4">
      <c r="A9" s="204" t="s">
        <v>63</v>
      </c>
      <c r="B9" s="212" t="s">
        <v>64</v>
      </c>
      <c r="C9" s="208"/>
      <c r="D9" s="209"/>
    </row>
    <row r="10" ht="16.95" customHeight="1" spans="1:4">
      <c r="A10" s="204" t="s">
        <v>65</v>
      </c>
      <c r="B10" s="213">
        <f>'3-直接经济效益评估表'!G31</f>
        <v>7384.57</v>
      </c>
      <c r="C10" s="214"/>
      <c r="D10" s="215"/>
    </row>
    <row r="11" ht="16.95" customHeight="1" spans="1:4">
      <c r="A11" s="204" t="s">
        <v>66</v>
      </c>
      <c r="B11" s="213">
        <f>SUM('3-直接经济效益评估表'!G11:G20)</f>
        <v>6839.62</v>
      </c>
      <c r="C11" s="216"/>
      <c r="D11" s="217"/>
    </row>
    <row r="12" ht="16.95" customHeight="1" spans="1:4">
      <c r="A12" s="204" t="s">
        <v>67</v>
      </c>
      <c r="B12" s="213">
        <f>SUM('3-直接经济效益评估表'!G21:G26)</f>
        <v>544.95</v>
      </c>
      <c r="C12" s="216"/>
      <c r="D12" s="217"/>
    </row>
    <row r="13" ht="16.95" customHeight="1" spans="1:4">
      <c r="A13" s="204" t="s">
        <v>68</v>
      </c>
      <c r="B13" s="213">
        <f>SUM('3-直接经济效益评估表'!G27)</f>
        <v>0</v>
      </c>
      <c r="C13" s="216"/>
      <c r="D13" s="217"/>
    </row>
    <row r="14" ht="16.95" customHeight="1" spans="1:4">
      <c r="A14" s="204" t="s">
        <v>69</v>
      </c>
      <c r="B14" s="213">
        <f>SUM('3-直接经济效益评估表'!G28:G30)</f>
        <v>0</v>
      </c>
      <c r="C14" s="218"/>
      <c r="D14" s="219"/>
    </row>
    <row r="15" ht="16.95" customHeight="1" spans="1:4">
      <c r="A15" s="204" t="s">
        <v>70</v>
      </c>
      <c r="B15" s="220">
        <f>'3-直接经济效益评估表'!G10</f>
        <v>8075.78</v>
      </c>
      <c r="C15" s="221"/>
      <c r="D15" s="222"/>
    </row>
    <row r="16" ht="16.95" customHeight="1" spans="1:4">
      <c r="A16" s="204" t="s">
        <v>71</v>
      </c>
      <c r="B16" s="220">
        <f>SUM('3-直接经济效益评估表'!G3:G6)</f>
        <v>6886.79</v>
      </c>
      <c r="C16" s="221"/>
      <c r="D16" s="222"/>
    </row>
    <row r="17" ht="16.95" customHeight="1" spans="1:4">
      <c r="A17" s="204" t="s">
        <v>72</v>
      </c>
      <c r="B17" s="213">
        <f>SUM('3-直接经济效益评估表'!G7:G8)</f>
        <v>1188.99</v>
      </c>
      <c r="C17" s="221"/>
      <c r="D17" s="222"/>
    </row>
    <row r="18" ht="16.95" customHeight="1" spans="1:4">
      <c r="A18" s="204" t="s">
        <v>73</v>
      </c>
      <c r="B18" s="213">
        <f>'3-直接经济效益评估表'!G5</f>
        <v>0</v>
      </c>
      <c r="C18" s="221"/>
      <c r="D18" s="222"/>
    </row>
    <row r="19" ht="20.4" spans="1:4">
      <c r="A19" s="200" t="s">
        <v>74</v>
      </c>
      <c r="B19" s="201"/>
      <c r="C19" s="223"/>
      <c r="D19" s="224"/>
    </row>
    <row r="20" ht="21" spans="1:4">
      <c r="A20" s="204" t="s">
        <v>75</v>
      </c>
      <c r="B20" s="225" t="s">
        <v>76</v>
      </c>
      <c r="C20" s="221"/>
      <c r="D20" s="222"/>
    </row>
    <row r="21" ht="21" spans="1:4">
      <c r="A21" s="226" t="s">
        <v>77</v>
      </c>
      <c r="B21" s="227">
        <v>0.055</v>
      </c>
      <c r="C21" s="221"/>
      <c r="D21" s="222"/>
    </row>
    <row r="22" ht="21" spans="1:4">
      <c r="A22" s="226" t="s">
        <v>78</v>
      </c>
      <c r="B22" s="228">
        <f>'3-直接经济效益评估表'!C44</f>
        <v>621.63</v>
      </c>
      <c r="C22" s="221"/>
      <c r="D22" s="222"/>
    </row>
    <row r="23" ht="21" spans="1:4">
      <c r="A23" s="226" t="s">
        <v>79</v>
      </c>
      <c r="B23" s="229">
        <f>'3-直接经济效益评估表'!C46</f>
        <v>0.0936</v>
      </c>
      <c r="C23" s="221"/>
      <c r="D23" s="222"/>
    </row>
    <row r="24" ht="21" spans="1:4">
      <c r="A24" s="226" t="s">
        <v>80</v>
      </c>
      <c r="B24" s="230">
        <f>'3-直接经济效益评估表'!C45</f>
        <v>1</v>
      </c>
      <c r="C24" s="221"/>
      <c r="D24" s="222"/>
    </row>
    <row r="25" ht="21" spans="1:4">
      <c r="A25" s="226" t="s">
        <v>81</v>
      </c>
      <c r="B25" s="227">
        <f>'3-直接经济效益评估表'!C48</f>
        <v>0.0856</v>
      </c>
      <c r="C25" s="221"/>
      <c r="D25" s="222"/>
    </row>
    <row r="26" ht="21" spans="1:4">
      <c r="A26" s="226" t="s">
        <v>82</v>
      </c>
      <c r="B26" s="229" t="e">
        <f>'3-直接经济效益评估表'!C47</f>
        <v>#NUM!</v>
      </c>
      <c r="C26" s="221"/>
      <c r="D26" s="222"/>
    </row>
    <row r="27" ht="21" spans="1:4">
      <c r="A27" s="226" t="s">
        <v>83</v>
      </c>
      <c r="B27" s="231">
        <f>'3-直接经济效益评估表'!C64</f>
        <v>0.0069</v>
      </c>
      <c r="C27" s="221"/>
      <c r="D27" s="222"/>
    </row>
    <row r="28" ht="21" spans="1:4">
      <c r="A28" s="226" t="s">
        <v>84</v>
      </c>
      <c r="B28" s="232">
        <f>'3-直接经济效益评估表'!C49</f>
        <v>1</v>
      </c>
      <c r="C28" s="221"/>
      <c r="D28" s="222"/>
    </row>
    <row r="29" ht="21" spans="1:4">
      <c r="A29" s="226" t="s">
        <v>85</v>
      </c>
      <c r="B29" s="233">
        <f>'3-直接经济效益评估表'!C65</f>
        <v>0.0068</v>
      </c>
      <c r="C29" s="221"/>
      <c r="D29" s="222"/>
    </row>
    <row r="30" ht="21.75" spans="1:4">
      <c r="A30" s="234" t="s">
        <v>86</v>
      </c>
      <c r="B30" s="235" t="s">
        <v>87</v>
      </c>
      <c r="C30" s="208"/>
      <c r="D30" s="209"/>
    </row>
    <row r="31" ht="55" customHeight="1" spans="1:4">
      <c r="A31" s="236" t="s">
        <v>88</v>
      </c>
      <c r="B31" s="237" t="s">
        <v>89</v>
      </c>
      <c r="C31" s="238"/>
      <c r="D31" s="239"/>
    </row>
    <row r="33" s="194" customFormat="1" ht="30" customHeight="1" spans="1:4">
      <c r="A33" s="240" t="s">
        <v>90</v>
      </c>
      <c r="B33" s="241"/>
      <c r="C33" s="242"/>
      <c r="D33" s="242"/>
    </row>
    <row r="34" s="194" customFormat="1" ht="38" customHeight="1" spans="1:4">
      <c r="A34" s="243" t="s">
        <v>75</v>
      </c>
      <c r="B34" s="243" t="s">
        <v>91</v>
      </c>
      <c r="C34" s="244" t="s">
        <v>92</v>
      </c>
      <c r="D34" s="245"/>
    </row>
    <row r="35" s="194" customFormat="1" ht="30" customHeight="1" spans="1:4">
      <c r="A35" s="246" t="s">
        <v>93</v>
      </c>
      <c r="B35" s="247" t="s">
        <v>94</v>
      </c>
      <c r="C35" s="248" t="s">
        <v>95</v>
      </c>
      <c r="D35" s="249"/>
    </row>
    <row r="36" s="194" customFormat="1" ht="30" customHeight="1" spans="1:4">
      <c r="A36" s="246" t="s">
        <v>96</v>
      </c>
      <c r="B36" s="247" t="s">
        <v>97</v>
      </c>
      <c r="C36" s="248" t="s">
        <v>98</v>
      </c>
      <c r="D36" s="249"/>
    </row>
    <row r="37" s="194" customFormat="1" ht="30" customHeight="1" spans="1:4">
      <c r="A37" s="246" t="s">
        <v>99</v>
      </c>
      <c r="B37" s="247" t="s">
        <v>100</v>
      </c>
      <c r="C37" s="248" t="s">
        <v>101</v>
      </c>
      <c r="D37" s="249"/>
    </row>
    <row r="38" s="194" customFormat="1" ht="47" customHeight="1" spans="1:4">
      <c r="A38" s="246" t="s">
        <v>102</v>
      </c>
      <c r="B38" s="247" t="s">
        <v>103</v>
      </c>
      <c r="C38" s="248" t="s">
        <v>104</v>
      </c>
      <c r="D38" s="249"/>
    </row>
    <row r="39" s="194" customFormat="1" ht="30" customHeight="1" spans="1:4">
      <c r="A39" s="246" t="s">
        <v>105</v>
      </c>
      <c r="B39" s="247" t="s">
        <v>106</v>
      </c>
      <c r="C39" s="248" t="s">
        <v>107</v>
      </c>
      <c r="D39" s="249"/>
    </row>
    <row r="40" s="194" customFormat="1" ht="31" customHeight="1" spans="1:4">
      <c r="A40" s="250" t="s">
        <v>108</v>
      </c>
      <c r="B40" s="251" t="s">
        <v>109</v>
      </c>
      <c r="C40" s="252" t="s">
        <v>98</v>
      </c>
      <c r="D40" s="253"/>
    </row>
  </sheetData>
  <mergeCells count="18">
    <mergeCell ref="A2:C2"/>
    <mergeCell ref="A3:B3"/>
    <mergeCell ref="C3:D3"/>
    <mergeCell ref="A19:B19"/>
    <mergeCell ref="C19:D19"/>
    <mergeCell ref="A33:D33"/>
    <mergeCell ref="C34:D34"/>
    <mergeCell ref="C35:D35"/>
    <mergeCell ref="C36:D36"/>
    <mergeCell ref="C37:D37"/>
    <mergeCell ref="C38:D38"/>
    <mergeCell ref="C39:D39"/>
    <mergeCell ref="C40:D40"/>
    <mergeCell ref="C4:D9"/>
    <mergeCell ref="C15:D18"/>
    <mergeCell ref="C20:D29"/>
    <mergeCell ref="C30:D31"/>
    <mergeCell ref="C10:D14"/>
  </mergeCells>
  <pageMargins left="0.75" right="0.75" top="1" bottom="1" header="0.5" footer="0.5"/>
  <pageSetup paperSize="9" scale="4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B72"/>
  <sheetViews>
    <sheetView tabSelected="1" zoomScale="70" zoomScaleNormal="70" workbookViewId="0">
      <selection activeCell="T11" sqref="T11"/>
    </sheetView>
  </sheetViews>
  <sheetFormatPr defaultColWidth="9" defaultRowHeight="20.4"/>
  <cols>
    <col min="1" max="1" width="4.66346153846154" style="23" customWidth="1"/>
    <col min="2" max="2" width="18.8173076923077" style="23" customWidth="1"/>
    <col min="3" max="3" width="21.1826923076923" style="23" customWidth="1"/>
    <col min="4" max="4" width="22.7788461538462" style="23" customWidth="1"/>
    <col min="5" max="6" width="20.7788461538462" style="23" customWidth="1"/>
    <col min="7" max="7" width="16.8846153846154" style="23" customWidth="1"/>
    <col min="8" max="8" width="15.8846153846154" style="23" customWidth="1"/>
    <col min="9" max="9" width="3.22115384615385" style="23" hidden="1" customWidth="1"/>
    <col min="10" max="10" width="11.2211538461538" style="23" customWidth="1"/>
    <col min="11" max="11" width="9.77884615384615" style="23" customWidth="1"/>
    <col min="12" max="12" width="18.375" style="23" customWidth="1"/>
    <col min="13" max="13" width="11.2211538461538" style="23" customWidth="1"/>
    <col min="14" max="14" width="9.77884615384615" style="23" customWidth="1"/>
    <col min="15" max="15" width="19.5576923076923" style="23" customWidth="1"/>
    <col min="16" max="16" width="6.64423076923077" style="23" customWidth="1"/>
    <col min="17" max="18" width="19.0576923076923" style="23" customWidth="1"/>
    <col min="19" max="19" width="21.4423076923077" style="23" customWidth="1"/>
    <col min="20" max="20" width="14.4423076923077" style="23" customWidth="1"/>
    <col min="21" max="21" width="18.1153846153846" style="23" customWidth="1"/>
    <col min="22" max="22" width="7.44230769230769" style="23" customWidth="1"/>
    <col min="23" max="23" width="15.2211538461538" style="24" customWidth="1"/>
    <col min="24" max="27" width="9" style="23"/>
    <col min="28" max="28" width="16.1826923076923" style="23"/>
    <col min="29" max="16384" width="9" style="23"/>
  </cols>
  <sheetData>
    <row r="1" ht="37.5" customHeight="1" spans="1:24">
      <c r="A1" s="25"/>
      <c r="B1" s="26" t="s">
        <v>110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8"/>
      <c r="R1" s="24"/>
      <c r="S1" s="24"/>
      <c r="T1" s="29"/>
      <c r="U1" s="29"/>
      <c r="V1" s="24"/>
      <c r="W1" s="29"/>
    </row>
    <row r="2" ht="36.75" customHeight="1" spans="1:24">
      <c r="A2" s="30" t="s">
        <v>111</v>
      </c>
      <c r="B2" s="30"/>
      <c r="C2" s="30" t="s">
        <v>54</v>
      </c>
      <c r="D2" s="31" t="s">
        <v>112</v>
      </c>
      <c r="E2" s="32"/>
      <c r="F2" s="33"/>
      <c r="G2" s="30" t="s">
        <v>113</v>
      </c>
      <c r="H2" s="31" t="s">
        <v>104</v>
      </c>
      <c r="I2" s="32"/>
      <c r="J2" s="32"/>
      <c r="K2" s="32"/>
      <c r="L2" s="32"/>
      <c r="M2" s="32"/>
      <c r="N2" s="32"/>
      <c r="O2" s="32"/>
      <c r="P2" s="33"/>
      <c r="Q2" s="34"/>
      <c r="R2" s="35"/>
      <c r="S2" s="36"/>
      <c r="T2" s="36"/>
      <c r="U2" s="37"/>
      <c r="V2" s="38"/>
      <c r="W2" s="23"/>
    </row>
    <row r="3" ht="21" customHeight="1" spans="1:24">
      <c r="A3" s="39"/>
      <c r="B3" s="40"/>
      <c r="C3" s="41"/>
      <c r="D3" s="42" t="s">
        <v>114</v>
      </c>
      <c r="E3" s="42"/>
      <c r="F3" s="42"/>
      <c r="G3" s="43">
        <f>Q3/1.06</f>
        <v>6886.79</v>
      </c>
      <c r="H3" s="30" t="s">
        <v>115</v>
      </c>
      <c r="I3" s="44"/>
      <c r="J3" s="44" t="s">
        <v>116</v>
      </c>
      <c r="K3" s="45"/>
      <c r="L3" s="45"/>
      <c r="M3" s="45"/>
      <c r="N3" s="45"/>
      <c r="O3" s="45"/>
      <c r="P3" s="45"/>
      <c r="Q3" s="34">
        <f>Q10-Q8</f>
        <v>7300</v>
      </c>
      <c r="R3" s="46"/>
      <c r="S3" s="38"/>
      <c r="T3" s="38"/>
      <c r="U3" s="38"/>
      <c r="V3" s="38"/>
    </row>
    <row r="4" ht="21" customHeight="1" spans="1:24">
      <c r="A4" s="39"/>
      <c r="B4" s="40"/>
      <c r="C4" s="41"/>
      <c r="D4" s="47" t="s">
        <v>117</v>
      </c>
      <c r="E4" s="48"/>
      <c r="F4" s="49"/>
      <c r="G4" s="43"/>
      <c r="H4" s="30" t="s">
        <v>115</v>
      </c>
      <c r="I4" s="44" t="s">
        <v>118</v>
      </c>
      <c r="J4" s="45"/>
      <c r="K4" s="45"/>
      <c r="L4" s="45"/>
      <c r="M4" s="45"/>
      <c r="N4" s="45"/>
      <c r="O4" s="45"/>
      <c r="P4" s="45"/>
      <c r="Q4" s="34"/>
      <c r="R4" s="50"/>
      <c r="S4" s="38"/>
      <c r="T4" s="38"/>
      <c r="U4" s="38"/>
      <c r="V4" s="38"/>
    </row>
    <row r="5" ht="21" customHeight="1" spans="1:24">
      <c r="A5" s="39"/>
      <c r="B5" s="40"/>
      <c r="C5" s="41"/>
      <c r="D5" s="47" t="s">
        <v>119</v>
      </c>
      <c r="E5" s="48"/>
      <c r="F5" s="49"/>
      <c r="G5" s="43"/>
      <c r="H5" s="30" t="s">
        <v>115</v>
      </c>
      <c r="I5" s="44" t="s">
        <v>120</v>
      </c>
      <c r="J5" s="45"/>
      <c r="K5" s="45"/>
      <c r="L5" s="45"/>
      <c r="M5" s="45"/>
      <c r="N5" s="45"/>
      <c r="O5" s="45"/>
      <c r="P5" s="45"/>
      <c r="Q5" s="34">
        <f>ROUND(G5*1.09,2)</f>
        <v>0</v>
      </c>
      <c r="R5" s="50"/>
      <c r="S5" s="38"/>
      <c r="T5" s="38"/>
      <c r="U5" s="38"/>
      <c r="V5" s="38"/>
    </row>
    <row r="6" ht="21" customHeight="1" spans="1:24">
      <c r="A6" s="39"/>
      <c r="B6" s="40"/>
      <c r="C6" s="51"/>
      <c r="D6" s="42" t="s">
        <v>121</v>
      </c>
      <c r="E6" s="42"/>
      <c r="F6" s="42"/>
      <c r="G6" s="43"/>
      <c r="H6" s="30" t="s">
        <v>115</v>
      </c>
      <c r="I6" s="44" t="s">
        <v>122</v>
      </c>
      <c r="J6" s="45"/>
      <c r="K6" s="45"/>
      <c r="L6" s="45"/>
      <c r="M6" s="45"/>
      <c r="N6" s="45"/>
      <c r="O6" s="45"/>
      <c r="P6" s="45"/>
      <c r="Q6" s="34"/>
      <c r="R6" s="50"/>
      <c r="S6" s="38"/>
      <c r="T6" s="38"/>
      <c r="U6" s="38"/>
      <c r="V6" s="38"/>
    </row>
    <row r="7" ht="21" customHeight="1" spans="1:24">
      <c r="A7" s="39"/>
      <c r="B7" s="40"/>
      <c r="C7" s="52" t="s">
        <v>72</v>
      </c>
      <c r="D7" s="48" t="s">
        <v>123</v>
      </c>
      <c r="E7" s="48"/>
      <c r="F7" s="49"/>
      <c r="G7" s="43">
        <v>0</v>
      </c>
      <c r="H7" s="30" t="s">
        <v>115</v>
      </c>
      <c r="I7" s="44" t="s">
        <v>118</v>
      </c>
      <c r="J7" s="45"/>
      <c r="K7" s="45"/>
      <c r="L7" s="45"/>
      <c r="M7" s="45"/>
      <c r="N7" s="45"/>
      <c r="O7" s="45"/>
      <c r="P7" s="45"/>
      <c r="R7" s="50"/>
      <c r="S7" s="53"/>
      <c r="T7" s="54"/>
      <c r="U7" s="54"/>
      <c r="V7" s="53"/>
      <c r="W7" s="29"/>
    </row>
    <row r="8" ht="21" customHeight="1" spans="1:24">
      <c r="A8" s="39"/>
      <c r="B8" s="40"/>
      <c r="C8" s="41"/>
      <c r="D8" s="48" t="s">
        <v>124</v>
      </c>
      <c r="E8" s="48"/>
      <c r="F8" s="49"/>
      <c r="G8" s="43">
        <f>Q8/1.09</f>
        <v>1188.99</v>
      </c>
      <c r="H8" s="30" t="s">
        <v>115</v>
      </c>
      <c r="I8" s="44" t="s">
        <v>118</v>
      </c>
      <c r="J8" s="45"/>
      <c r="K8" s="45"/>
      <c r="L8" s="45"/>
      <c r="M8" s="45"/>
      <c r="N8" s="45"/>
      <c r="O8" s="45"/>
      <c r="P8" s="45"/>
      <c r="Q8" s="34">
        <v>1296</v>
      </c>
      <c r="R8" s="50"/>
      <c r="S8" s="54"/>
      <c r="T8" s="54"/>
      <c r="U8" s="55"/>
      <c r="V8" s="53"/>
    </row>
    <row r="9" ht="21" customHeight="1" spans="1:24">
      <c r="A9" s="39"/>
      <c r="B9" s="56"/>
      <c r="C9" s="30" t="s">
        <v>73</v>
      </c>
      <c r="D9" s="48" t="s">
        <v>125</v>
      </c>
      <c r="E9" s="48"/>
      <c r="F9" s="49"/>
      <c r="G9" s="43"/>
      <c r="H9" s="30" t="s">
        <v>115</v>
      </c>
      <c r="J9" s="57"/>
      <c r="K9" s="58"/>
      <c r="L9" s="58"/>
      <c r="M9" s="58"/>
      <c r="N9" s="58"/>
      <c r="O9" s="58"/>
      <c r="P9" s="59"/>
      <c r="Q9" s="25"/>
      <c r="R9" s="60"/>
      <c r="S9" s="36"/>
      <c r="T9" s="36"/>
      <c r="U9" s="37"/>
      <c r="V9" s="38"/>
      <c r="W9" s="23"/>
    </row>
    <row r="10" ht="21" customHeight="1" spans="1:24">
      <c r="A10" s="61"/>
      <c r="B10" s="62"/>
      <c r="C10" s="51" t="s">
        <v>126</v>
      </c>
      <c r="D10" s="48" t="s">
        <v>127</v>
      </c>
      <c r="E10" s="48"/>
      <c r="F10" s="49"/>
      <c r="G10" s="63">
        <f>SUM(G3:G8)</f>
        <v>8075.78</v>
      </c>
      <c r="H10" s="30"/>
      <c r="I10" s="44"/>
      <c r="J10" s="45"/>
      <c r="K10" s="45"/>
      <c r="L10" s="45"/>
      <c r="M10" s="45"/>
      <c r="N10" s="45"/>
      <c r="O10" s="45"/>
      <c r="P10" s="45"/>
      <c r="Q10" s="34">
        <v>8596</v>
      </c>
      <c r="R10" s="35"/>
      <c r="S10" s="36"/>
      <c r="T10" s="36"/>
      <c r="U10" s="37"/>
      <c r="V10" s="38"/>
      <c r="W10" s="23"/>
    </row>
    <row r="11" ht="21" customHeight="1" spans="1:24">
      <c r="A11" s="64" t="s">
        <v>128</v>
      </c>
      <c r="B11" s="65"/>
      <c r="C11" s="66" t="s">
        <v>129</v>
      </c>
      <c r="D11" s="67" t="s">
        <v>130</v>
      </c>
      <c r="E11" s="68" t="s">
        <v>131</v>
      </c>
      <c r="F11" s="68"/>
      <c r="G11" s="43">
        <v>0</v>
      </c>
      <c r="H11" s="30" t="s">
        <v>115</v>
      </c>
      <c r="I11" s="44" t="s">
        <v>132</v>
      </c>
      <c r="J11" s="45"/>
      <c r="K11" s="45"/>
      <c r="L11" s="45"/>
      <c r="M11" s="45"/>
      <c r="N11" s="45"/>
      <c r="O11" s="45"/>
      <c r="P11" s="45"/>
      <c r="Q11" s="34">
        <v>0</v>
      </c>
      <c r="R11" s="35"/>
      <c r="S11" s="36"/>
      <c r="T11" s="36"/>
      <c r="U11" s="37"/>
      <c r="V11" s="38"/>
    </row>
    <row r="12" ht="21" customHeight="1" spans="1:24">
      <c r="A12" s="39"/>
      <c r="B12" s="40"/>
      <c r="C12" s="66"/>
      <c r="D12" s="69"/>
      <c r="E12" s="68" t="s">
        <v>133</v>
      </c>
      <c r="F12" s="68"/>
      <c r="G12" s="43">
        <v>0</v>
      </c>
      <c r="H12" s="30" t="s">
        <v>115</v>
      </c>
      <c r="I12" s="44" t="s">
        <v>120</v>
      </c>
      <c r="J12" s="45"/>
      <c r="K12" s="45"/>
      <c r="L12" s="45"/>
      <c r="M12" s="45"/>
      <c r="N12" s="45"/>
      <c r="O12" s="45"/>
      <c r="P12" s="45"/>
      <c r="Q12" s="34">
        <v>0</v>
      </c>
      <c r="R12" s="35"/>
      <c r="S12" s="36"/>
      <c r="T12" s="36"/>
      <c r="U12" s="37"/>
      <c r="V12" s="38"/>
    </row>
    <row r="13" ht="21" customHeight="1" spans="1:24">
      <c r="A13" s="39"/>
      <c r="B13" s="40"/>
      <c r="C13" s="66"/>
      <c r="D13" s="69"/>
      <c r="E13" s="68" t="s">
        <v>134</v>
      </c>
      <c r="F13" s="68"/>
      <c r="G13" s="43"/>
      <c r="H13" s="30" t="s">
        <v>115</v>
      </c>
      <c r="I13" s="45" t="s">
        <v>118</v>
      </c>
      <c r="J13" s="45"/>
      <c r="K13" s="45"/>
      <c r="L13" s="45"/>
      <c r="M13" s="45"/>
      <c r="N13" s="45"/>
      <c r="O13" s="45"/>
      <c r="P13" s="45"/>
      <c r="Q13" s="34"/>
      <c r="R13" s="35"/>
      <c r="S13" s="36"/>
      <c r="T13" s="36"/>
      <c r="U13" s="37"/>
      <c r="V13" s="38"/>
    </row>
    <row r="14" ht="21" customHeight="1" spans="1:24">
      <c r="A14" s="39"/>
      <c r="B14" s="40"/>
      <c r="C14" s="66"/>
      <c r="D14" s="69"/>
      <c r="E14" s="70" t="s">
        <v>114</v>
      </c>
      <c r="F14" s="71"/>
      <c r="G14" s="72">
        <f>Q14/1.06</f>
        <v>6839.62</v>
      </c>
      <c r="H14" s="30" t="s">
        <v>115</v>
      </c>
      <c r="I14" s="45" t="s">
        <v>116</v>
      </c>
      <c r="J14" s="45"/>
      <c r="K14" s="45"/>
      <c r="L14" s="45"/>
      <c r="M14" s="45"/>
      <c r="N14" s="45"/>
      <c r="O14" s="45"/>
      <c r="P14" s="45"/>
      <c r="Q14" s="34">
        <v>7250</v>
      </c>
      <c r="R14" s="35"/>
      <c r="S14" s="36"/>
      <c r="T14" s="36"/>
      <c r="U14" s="37"/>
      <c r="V14" s="38"/>
    </row>
    <row r="15" ht="21" customHeight="1" spans="1:24">
      <c r="A15" s="39"/>
      <c r="B15" s="40"/>
      <c r="C15" s="66"/>
      <c r="D15" s="69"/>
      <c r="E15" s="70" t="s">
        <v>135</v>
      </c>
      <c r="F15" s="71"/>
      <c r="G15" s="43"/>
      <c r="H15" s="30" t="s">
        <v>115</v>
      </c>
      <c r="I15" s="45" t="s">
        <v>118</v>
      </c>
      <c r="J15" s="45"/>
      <c r="K15" s="45"/>
      <c r="L15" s="45"/>
      <c r="M15" s="45"/>
      <c r="N15" s="45"/>
      <c r="O15" s="45"/>
      <c r="P15" s="45"/>
      <c r="Q15" s="34"/>
      <c r="R15" s="35"/>
      <c r="S15" s="36"/>
      <c r="T15" s="36"/>
      <c r="U15" s="37"/>
      <c r="V15" s="38"/>
      <c r="W15" s="73"/>
      <c r="X15" s="74"/>
    </row>
    <row r="16" ht="21" customHeight="1" spans="1:24">
      <c r="A16" s="39"/>
      <c r="B16" s="40"/>
      <c r="C16" s="66"/>
      <c r="D16" s="75" t="s">
        <v>136</v>
      </c>
      <c r="E16" s="70" t="s">
        <v>137</v>
      </c>
      <c r="F16" s="71"/>
      <c r="G16" s="43"/>
      <c r="H16" s="30" t="s">
        <v>115</v>
      </c>
      <c r="I16" s="45" t="s">
        <v>118</v>
      </c>
      <c r="J16" s="45"/>
      <c r="K16" s="45"/>
      <c r="L16" s="45"/>
      <c r="M16" s="45"/>
      <c r="N16" s="45"/>
      <c r="O16" s="45"/>
      <c r="P16" s="45"/>
      <c r="Q16" s="34"/>
      <c r="R16" s="35"/>
      <c r="S16" s="36"/>
      <c r="T16" s="36"/>
      <c r="U16" s="37"/>
      <c r="V16" s="38"/>
      <c r="W16" s="73"/>
      <c r="X16" s="74"/>
    </row>
    <row r="17" ht="21" customHeight="1" spans="1:28">
      <c r="A17" s="39"/>
      <c r="B17" s="40"/>
      <c r="C17" s="66"/>
      <c r="D17" s="75"/>
      <c r="E17" s="70" t="s">
        <v>138</v>
      </c>
      <c r="F17" s="71"/>
      <c r="G17" s="43"/>
      <c r="H17" s="30" t="s">
        <v>115</v>
      </c>
      <c r="I17" s="76" t="s">
        <v>118</v>
      </c>
      <c r="J17" s="77"/>
      <c r="K17" s="77"/>
      <c r="L17" s="77"/>
      <c r="M17" s="77"/>
      <c r="N17" s="77"/>
      <c r="O17" s="77"/>
      <c r="P17" s="78"/>
      <c r="Q17" s="34"/>
      <c r="R17" s="35"/>
      <c r="S17" s="36"/>
      <c r="T17" s="36"/>
      <c r="U17" s="37"/>
      <c r="V17" s="38"/>
      <c r="X17" s="74"/>
    </row>
    <row r="18" ht="21" customHeight="1" spans="1:28">
      <c r="A18" s="39"/>
      <c r="B18" s="40"/>
      <c r="C18" s="66"/>
      <c r="D18" s="79" t="s">
        <v>135</v>
      </c>
      <c r="E18" s="70" t="s">
        <v>139</v>
      </c>
      <c r="F18" s="71"/>
      <c r="G18" s="43"/>
      <c r="H18" s="30" t="s">
        <v>115</v>
      </c>
      <c r="I18" s="76" t="s">
        <v>118</v>
      </c>
      <c r="J18" s="77"/>
      <c r="K18" s="77"/>
      <c r="L18" s="77"/>
      <c r="M18" s="77"/>
      <c r="N18" s="77"/>
      <c r="O18" s="77"/>
      <c r="P18" s="78"/>
      <c r="Q18" s="34"/>
      <c r="R18" s="80"/>
      <c r="S18" s="36"/>
      <c r="T18" s="36"/>
      <c r="U18" s="37"/>
      <c r="V18" s="38"/>
      <c r="X18" s="74"/>
    </row>
    <row r="19" ht="21" customHeight="1" spans="1:28">
      <c r="A19" s="39"/>
      <c r="B19" s="40"/>
      <c r="C19" s="66"/>
      <c r="D19" s="66"/>
      <c r="E19" s="70" t="s">
        <v>140</v>
      </c>
      <c r="F19" s="71"/>
      <c r="G19" s="43"/>
      <c r="H19" s="30" t="s">
        <v>115</v>
      </c>
      <c r="I19" s="76" t="s">
        <v>141</v>
      </c>
      <c r="J19" s="77"/>
      <c r="K19" s="77"/>
      <c r="L19" s="77"/>
      <c r="M19" s="77"/>
      <c r="N19" s="77"/>
      <c r="O19" s="77"/>
      <c r="P19" s="78"/>
      <c r="Q19" s="34"/>
      <c r="R19" s="35"/>
      <c r="S19" s="36"/>
      <c r="T19" s="36"/>
      <c r="U19" s="37"/>
      <c r="V19" s="38"/>
      <c r="X19" s="74"/>
    </row>
    <row r="20" ht="21" customHeight="1" spans="1:28">
      <c r="A20" s="39"/>
      <c r="B20" s="40"/>
      <c r="C20" s="66"/>
      <c r="D20" s="66"/>
      <c r="E20" s="70" t="s">
        <v>142</v>
      </c>
      <c r="F20" s="71"/>
      <c r="G20" s="43">
        <v>0</v>
      </c>
      <c r="H20" s="30" t="s">
        <v>115</v>
      </c>
      <c r="I20" s="76" t="s">
        <v>143</v>
      </c>
      <c r="J20" s="77"/>
      <c r="K20" s="77"/>
      <c r="L20" s="77"/>
      <c r="M20" s="77"/>
      <c r="N20" s="77"/>
      <c r="O20" s="77"/>
      <c r="P20" s="78"/>
      <c r="Q20" s="34">
        <v>0</v>
      </c>
      <c r="R20" s="46"/>
      <c r="S20" s="36"/>
      <c r="T20" s="36"/>
      <c r="U20" s="37"/>
      <c r="V20" s="38"/>
      <c r="X20" s="74"/>
    </row>
    <row r="21" ht="21" customHeight="1" spans="1:28">
      <c r="A21" s="39"/>
      <c r="B21" s="40"/>
      <c r="C21" s="79" t="s">
        <v>144</v>
      </c>
      <c r="D21" s="79" t="s">
        <v>145</v>
      </c>
      <c r="E21" s="81" t="s">
        <v>146</v>
      </c>
      <c r="F21" s="71"/>
      <c r="G21" s="43"/>
      <c r="H21" s="30" t="s">
        <v>115</v>
      </c>
      <c r="I21" s="76" t="s">
        <v>147</v>
      </c>
      <c r="J21" s="77"/>
      <c r="K21" s="77"/>
      <c r="L21" s="77"/>
      <c r="M21" s="77"/>
      <c r="N21" s="77"/>
      <c r="O21" s="77"/>
      <c r="P21" s="78"/>
      <c r="Q21" s="34"/>
      <c r="R21" s="50"/>
      <c r="S21" s="38"/>
      <c r="T21" s="38"/>
      <c r="U21" s="37"/>
      <c r="V21" s="38"/>
      <c r="W21" s="73"/>
    </row>
    <row r="22" ht="21" customHeight="1" spans="1:28">
      <c r="A22" s="39"/>
      <c r="B22" s="40"/>
      <c r="C22" s="66"/>
      <c r="D22" s="66"/>
      <c r="E22" s="81" t="s">
        <v>148</v>
      </c>
      <c r="F22" s="71"/>
      <c r="G22" s="43">
        <f>Q22/1.09</f>
        <v>544.95</v>
      </c>
      <c r="H22" s="30" t="s">
        <v>115</v>
      </c>
      <c r="I22" s="76" t="s">
        <v>149</v>
      </c>
      <c r="J22" s="77"/>
      <c r="K22" s="77"/>
      <c r="L22" s="77"/>
      <c r="M22" s="77"/>
      <c r="N22" s="77"/>
      <c r="O22" s="77"/>
      <c r="P22" s="78"/>
      <c r="Q22" s="34">
        <v>594</v>
      </c>
      <c r="R22" s="50"/>
      <c r="S22" s="38"/>
      <c r="T22" s="38"/>
      <c r="U22" s="38"/>
      <c r="V22" s="38"/>
    </row>
    <row r="23" ht="40" customHeight="1" spans="1:28">
      <c r="A23" s="39"/>
      <c r="B23" s="40"/>
      <c r="C23" s="66"/>
      <c r="D23" s="66"/>
      <c r="E23" s="82" t="s">
        <v>150</v>
      </c>
      <c r="F23" s="83"/>
      <c r="G23" s="43">
        <v>0</v>
      </c>
      <c r="H23" s="30" t="s">
        <v>115</v>
      </c>
      <c r="I23" s="76"/>
      <c r="J23" s="44"/>
      <c r="K23" s="45"/>
      <c r="L23" s="45"/>
      <c r="M23" s="45"/>
      <c r="N23" s="45"/>
      <c r="O23" s="45"/>
      <c r="P23" s="45"/>
      <c r="Q23" s="34">
        <v>0</v>
      </c>
      <c r="R23" s="50"/>
      <c r="S23" s="35"/>
      <c r="T23" s="35"/>
      <c r="U23" s="84"/>
      <c r="V23" s="38"/>
      <c r="W23" s="23"/>
    </row>
    <row r="24" ht="21" customHeight="1" spans="1:28">
      <c r="A24" s="39"/>
      <c r="B24" s="40"/>
      <c r="C24" s="66"/>
      <c r="D24" s="66"/>
      <c r="E24" s="82" t="s">
        <v>151</v>
      </c>
      <c r="F24" s="83"/>
      <c r="G24" s="43"/>
      <c r="H24" s="30" t="s">
        <v>115</v>
      </c>
      <c r="I24" s="76"/>
      <c r="J24" s="77"/>
      <c r="K24" s="77"/>
      <c r="L24" s="77"/>
      <c r="M24" s="77"/>
      <c r="N24" s="77"/>
      <c r="O24" s="77"/>
      <c r="P24" s="78"/>
      <c r="Q24" s="85"/>
      <c r="R24" s="50"/>
      <c r="S24" s="35"/>
      <c r="T24" s="35"/>
      <c r="U24" s="84"/>
      <c r="V24" s="38"/>
      <c r="W24" s="23"/>
    </row>
    <row r="25" ht="21" customHeight="1" spans="1:28">
      <c r="A25" s="39"/>
      <c r="B25" s="40"/>
      <c r="C25" s="66"/>
      <c r="D25" s="86" t="s">
        <v>152</v>
      </c>
      <c r="E25" s="87" t="s">
        <v>153</v>
      </c>
      <c r="F25" s="88"/>
      <c r="G25" s="89"/>
      <c r="H25" s="30" t="s">
        <v>115</v>
      </c>
      <c r="I25" s="76" t="s">
        <v>147</v>
      </c>
      <c r="J25" s="77"/>
      <c r="K25" s="77"/>
      <c r="L25" s="77"/>
      <c r="M25" s="77"/>
      <c r="N25" s="77"/>
      <c r="O25" s="77"/>
      <c r="P25" s="78"/>
      <c r="R25" s="50"/>
      <c r="S25" s="35"/>
      <c r="T25" s="35"/>
      <c r="U25" s="84"/>
      <c r="V25" s="38"/>
      <c r="W25" s="23"/>
    </row>
    <row r="26" ht="21" customHeight="1" spans="1:28">
      <c r="A26" s="39"/>
      <c r="B26" s="40"/>
      <c r="C26" s="90"/>
      <c r="D26" s="91"/>
      <c r="E26" s="92" t="s">
        <v>154</v>
      </c>
      <c r="F26" s="93"/>
      <c r="G26" s="89"/>
      <c r="H26" s="30" t="s">
        <v>115</v>
      </c>
      <c r="I26" s="76" t="s">
        <v>147</v>
      </c>
      <c r="J26" s="77"/>
      <c r="K26" s="77"/>
      <c r="L26" s="77"/>
      <c r="M26" s="77"/>
      <c r="N26" s="77"/>
      <c r="O26" s="77"/>
      <c r="P26" s="78"/>
      <c r="Q26" s="34"/>
      <c r="R26" s="60"/>
      <c r="S26" s="35"/>
      <c r="T26" s="35"/>
      <c r="U26" s="94"/>
      <c r="V26" s="38"/>
      <c r="W26" s="23"/>
    </row>
    <row r="27" ht="21" customHeight="1" spans="1:28">
      <c r="A27" s="39"/>
      <c r="B27" s="40"/>
      <c r="C27" s="66" t="s">
        <v>68</v>
      </c>
      <c r="D27" s="75" t="s">
        <v>155</v>
      </c>
      <c r="E27" s="95" t="s">
        <v>156</v>
      </c>
      <c r="F27" s="96"/>
      <c r="G27" s="89"/>
      <c r="H27" s="30" t="s">
        <v>115</v>
      </c>
      <c r="I27" s="76" t="s">
        <v>147</v>
      </c>
      <c r="J27" s="77"/>
      <c r="K27" s="77"/>
      <c r="L27" s="77"/>
      <c r="M27" s="77"/>
      <c r="N27" s="77"/>
      <c r="O27" s="77"/>
      <c r="P27" s="78"/>
      <c r="Q27" s="34"/>
      <c r="R27" s="35"/>
      <c r="S27" s="35"/>
      <c r="T27" s="35"/>
      <c r="U27" s="94"/>
      <c r="V27" s="38"/>
      <c r="W27" s="23"/>
      <c r="AB27" s="23">
        <f>174000/0.2785</f>
        <v>624775.583482944</v>
      </c>
    </row>
    <row r="28" ht="23.4" customHeight="1" spans="1:28">
      <c r="A28" s="39"/>
      <c r="B28" s="40"/>
      <c r="C28" s="97" t="s">
        <v>69</v>
      </c>
      <c r="D28" s="98" t="s">
        <v>157</v>
      </c>
      <c r="E28" s="99"/>
      <c r="F28" s="100"/>
      <c r="G28" s="43"/>
      <c r="H28" s="30" t="s">
        <v>115</v>
      </c>
      <c r="I28" s="45"/>
      <c r="J28" s="45"/>
      <c r="K28" s="45"/>
      <c r="L28" s="45"/>
      <c r="M28" s="45"/>
      <c r="N28" s="45"/>
      <c r="O28" s="45"/>
      <c r="P28" s="45"/>
      <c r="Q28" s="34"/>
      <c r="R28" s="34"/>
      <c r="S28" s="34"/>
      <c r="T28" s="34"/>
      <c r="U28" s="101"/>
      <c r="V28" s="25"/>
      <c r="W28" s="23"/>
    </row>
    <row r="29" ht="21" customHeight="1" spans="1:28">
      <c r="A29" s="39"/>
      <c r="B29" s="40"/>
      <c r="C29" s="66"/>
      <c r="D29" s="102" t="s">
        <v>158</v>
      </c>
      <c r="E29" s="102"/>
      <c r="F29" s="102"/>
      <c r="G29" s="43"/>
      <c r="H29" s="30" t="s">
        <v>115</v>
      </c>
      <c r="I29" s="45"/>
      <c r="J29" s="45"/>
      <c r="K29" s="45"/>
      <c r="L29" s="45"/>
      <c r="M29" s="45"/>
      <c r="N29" s="45"/>
      <c r="O29" s="45"/>
      <c r="P29" s="45"/>
      <c r="Q29" s="34"/>
      <c r="R29" s="34"/>
      <c r="S29" s="34"/>
      <c r="T29" s="34"/>
      <c r="U29" s="101"/>
      <c r="V29" s="25"/>
      <c r="W29" s="23"/>
    </row>
    <row r="30" ht="21" customHeight="1" spans="1:28">
      <c r="A30" s="39"/>
      <c r="B30" s="40"/>
      <c r="C30" s="66"/>
      <c r="D30" s="70" t="s">
        <v>159</v>
      </c>
      <c r="E30" s="81"/>
      <c r="F30" s="81"/>
      <c r="G30" s="43"/>
      <c r="H30" s="30" t="s">
        <v>115</v>
      </c>
      <c r="I30" s="103"/>
      <c r="J30" s="31"/>
      <c r="K30" s="32"/>
      <c r="L30" s="32"/>
      <c r="M30" s="32"/>
      <c r="N30" s="32"/>
      <c r="O30" s="32"/>
      <c r="P30" s="104"/>
      <c r="Q30" s="34"/>
      <c r="R30" s="34">
        <f>G31*1.06</f>
        <v>7827.6442</v>
      </c>
      <c r="S30" s="34"/>
      <c r="T30" s="34"/>
      <c r="U30" s="101"/>
      <c r="V30" s="25"/>
      <c r="W30" s="23"/>
    </row>
    <row r="31" ht="21" customHeight="1" spans="1:28">
      <c r="A31" s="61"/>
      <c r="B31" s="62"/>
      <c r="C31" s="75" t="s">
        <v>126</v>
      </c>
      <c r="D31" s="105" t="s">
        <v>160</v>
      </c>
      <c r="E31" s="105"/>
      <c r="F31" s="105"/>
      <c r="G31" s="106">
        <f>SUM(G11:G30)</f>
        <v>7384.57</v>
      </c>
      <c r="H31" s="107"/>
      <c r="I31" s="103"/>
      <c r="J31" s="31"/>
      <c r="K31" s="32"/>
      <c r="L31" s="32"/>
      <c r="M31" s="32"/>
      <c r="N31" s="32"/>
      <c r="O31" s="32"/>
      <c r="P31" s="104"/>
      <c r="Q31" s="34">
        <f>SUM(Q11:Q30)</f>
        <v>7844</v>
      </c>
      <c r="R31" s="34">
        <f>Q31-6600000</f>
        <v>-6592156</v>
      </c>
      <c r="S31" s="34">
        <f>R31-Q20</f>
        <v>-6592156</v>
      </c>
      <c r="T31" s="34"/>
      <c r="U31" s="101"/>
      <c r="V31" s="25"/>
      <c r="W31" s="23"/>
    </row>
    <row r="32" ht="21" customHeight="1" spans="1:28">
      <c r="A32" s="30" t="s">
        <v>161</v>
      </c>
      <c r="B32" s="108"/>
      <c r="C32" s="109" t="s">
        <v>77</v>
      </c>
      <c r="D32" s="110">
        <v>0.055</v>
      </c>
      <c r="E32" s="111"/>
      <c r="F32" s="111"/>
      <c r="G32" s="111"/>
      <c r="H32" s="112"/>
      <c r="I32" s="113"/>
      <c r="J32" s="114" t="s">
        <v>162</v>
      </c>
      <c r="K32" s="115"/>
      <c r="L32" s="116" t="s">
        <v>163</v>
      </c>
      <c r="M32" s="114" t="s">
        <v>164</v>
      </c>
      <c r="N32" s="115"/>
      <c r="O32" s="117" t="s">
        <v>165</v>
      </c>
      <c r="P32" s="118"/>
      <c r="Q32" s="119"/>
      <c r="R32" s="101">
        <f>Q31/1.06</f>
        <v>7400</v>
      </c>
      <c r="S32" s="101"/>
      <c r="T32" s="101"/>
      <c r="U32" s="101"/>
      <c r="V32" s="101"/>
      <c r="W32" s="23"/>
    </row>
    <row r="33" ht="21" customHeight="1" spans="1:24">
      <c r="A33" s="117" t="s">
        <v>166</v>
      </c>
      <c r="B33" s="118"/>
      <c r="C33" s="30" t="s">
        <v>167</v>
      </c>
      <c r="D33" s="30" t="s">
        <v>168</v>
      </c>
      <c r="E33" s="120">
        <f>G10/3</f>
        <v>2691.93</v>
      </c>
      <c r="F33" s="30" t="s">
        <v>169</v>
      </c>
      <c r="G33" s="121">
        <f>G31/3</f>
        <v>2461.52</v>
      </c>
      <c r="H33" s="122"/>
      <c r="I33" s="89"/>
      <c r="J33" s="123">
        <f t="shared" ref="J33:J42" si="0">E33-G33</f>
        <v>230.41</v>
      </c>
      <c r="K33" s="124"/>
      <c r="L33" s="125">
        <f>J33</f>
        <v>230.41</v>
      </c>
      <c r="M33" s="123">
        <f>J33/(1+D32)^1</f>
        <v>218.4</v>
      </c>
      <c r="N33" s="124"/>
      <c r="O33" s="126">
        <f>J33/(1+D32)^1</f>
        <v>218.4</v>
      </c>
      <c r="P33" s="127"/>
      <c r="Q33" s="85">
        <f>E33-E34</f>
        <v>0</v>
      </c>
      <c r="R33" s="101">
        <f>G33-G34</f>
        <v>0</v>
      </c>
      <c r="S33" s="101" t="e">
        <f>IF(O33&lt;=0,100,O33/(#REF!-O33))</f>
        <v>#REF!</v>
      </c>
      <c r="T33" s="101" t="str">
        <f>IF(O33&gt;=0,"T","F")</f>
        <v>T</v>
      </c>
      <c r="U33" s="101" t="e">
        <f>IF(L33&lt;=0,100,L33/(#REF!-L33))</f>
        <v>#REF!</v>
      </c>
      <c r="V33" s="101" t="str">
        <f>IF(L33&gt;=0,"T","F")</f>
        <v>T</v>
      </c>
    </row>
    <row r="34" ht="21" customHeight="1" spans="1:24">
      <c r="A34" s="128"/>
      <c r="B34" s="129"/>
      <c r="C34" s="30" t="s">
        <v>170</v>
      </c>
      <c r="D34" s="30" t="s">
        <v>168</v>
      </c>
      <c r="E34" s="120">
        <f>G10/3</f>
        <v>2691.93</v>
      </c>
      <c r="F34" s="30" t="s">
        <v>169</v>
      </c>
      <c r="G34" s="121">
        <f>G31/3</f>
        <v>2461.52</v>
      </c>
      <c r="H34" s="122"/>
      <c r="I34" s="89"/>
      <c r="J34" s="123">
        <f t="shared" si="0"/>
        <v>230.41</v>
      </c>
      <c r="K34" s="124"/>
      <c r="L34" s="125">
        <f t="shared" ref="L34:L42" si="1">L33+J34</f>
        <v>460.82</v>
      </c>
      <c r="M34" s="123">
        <f>J34/(1+D32)^2</f>
        <v>207.01</v>
      </c>
      <c r="N34" s="124"/>
      <c r="O34" s="130">
        <f>O33+J34/(1+D32)^2</f>
        <v>425.41</v>
      </c>
      <c r="P34" s="131"/>
      <c r="Q34" s="101"/>
      <c r="R34" s="101"/>
      <c r="S34" s="101">
        <f>IF(O34&lt;=0,100,O34/(O33-O34))</f>
        <v>-2.06</v>
      </c>
      <c r="T34" s="101" t="str">
        <f>IF(O34&gt;=0,"T","F")</f>
        <v>T</v>
      </c>
      <c r="U34" s="101">
        <f>IF(L34&lt;=0,100,L34/(L33-L34))</f>
        <v>-2</v>
      </c>
      <c r="V34" s="25" t="str">
        <f>IF(L33&lt;0,IF(L34&gt;=0,"T","F"),"F")</f>
        <v>F</v>
      </c>
      <c r="W34" s="23"/>
    </row>
    <row r="35" ht="21" customHeight="1" spans="1:24">
      <c r="A35" s="128"/>
      <c r="B35" s="129"/>
      <c r="C35" s="30" t="s">
        <v>171</v>
      </c>
      <c r="D35" s="30" t="s">
        <v>168</v>
      </c>
      <c r="E35" s="120">
        <f>G10/3</f>
        <v>2691.93</v>
      </c>
      <c r="F35" s="30" t="s">
        <v>169</v>
      </c>
      <c r="G35" s="121">
        <f>G31/3</f>
        <v>2461.52</v>
      </c>
      <c r="H35" s="122"/>
      <c r="I35" s="132"/>
      <c r="J35" s="123">
        <f t="shared" si="0"/>
        <v>230.41</v>
      </c>
      <c r="K35" s="124"/>
      <c r="L35" s="125">
        <f t="shared" si="1"/>
        <v>691.23</v>
      </c>
      <c r="M35" s="123">
        <f>J35/(1+D32)^3</f>
        <v>196.22</v>
      </c>
      <c r="N35" s="124"/>
      <c r="O35" s="130">
        <f>O34+J35/(1+D32)^3</f>
        <v>621.63</v>
      </c>
      <c r="P35" s="131"/>
      <c r="Q35" s="133">
        <f>ROUND(G33*1.06,2)</f>
        <v>2609.21</v>
      </c>
      <c r="R35" s="101"/>
      <c r="S35" s="101">
        <f t="shared" ref="S35:S42" si="2">IF(O35&lt;=0,100,O35/(O34-O35))</f>
        <v>-3.17</v>
      </c>
      <c r="T35" s="101" t="str">
        <f>IF(O34&lt;0,IF(O35&gt;=0,"T","F"),"F")</f>
        <v>F</v>
      </c>
      <c r="U35" s="101">
        <f t="shared" ref="U35:U42" si="3">IF(L35&lt;=0,100,L35/(L34-L35))</f>
        <v>-3</v>
      </c>
      <c r="V35" s="25" t="str">
        <f t="shared" ref="V35:V42" si="4">IF(L34&lt;0,IF(L35&gt;=0,"T","F"),"F")</f>
        <v>F</v>
      </c>
      <c r="W35" s="23"/>
    </row>
    <row r="36" ht="21" customHeight="1" spans="1:24">
      <c r="A36" s="128"/>
      <c r="B36" s="129"/>
      <c r="C36" s="30" t="s">
        <v>172</v>
      </c>
      <c r="D36" s="30" t="s">
        <v>168</v>
      </c>
      <c r="E36" s="134"/>
      <c r="F36" s="30" t="s">
        <v>169</v>
      </c>
      <c r="G36" s="135"/>
      <c r="H36" s="136"/>
      <c r="I36" s="137"/>
      <c r="J36" s="123">
        <f t="shared" si="0"/>
        <v>0</v>
      </c>
      <c r="K36" s="124"/>
      <c r="L36" s="125">
        <f t="shared" si="1"/>
        <v>691.23</v>
      </c>
      <c r="M36" s="123">
        <f>J36/(1+D32)^4</f>
        <v>0</v>
      </c>
      <c r="N36" s="124"/>
      <c r="O36" s="130">
        <f>O35+J36/(1+D32)^4</f>
        <v>621.63</v>
      </c>
      <c r="P36" s="131"/>
      <c r="Q36" s="133">
        <f>ROUNDUP(G34*1.06,2)</f>
        <v>2609.22</v>
      </c>
      <c r="R36" s="101"/>
      <c r="S36" s="101" t="e">
        <f t="shared" si="2"/>
        <v>#DIV/0!</v>
      </c>
      <c r="T36" s="101" t="str">
        <f t="shared" ref="T36:T42" si="5">IF(O35&lt;0,IF(O36&gt;=0,"T","F"),"F")</f>
        <v>F</v>
      </c>
      <c r="U36" s="101" t="e">
        <f t="shared" si="3"/>
        <v>#DIV/0!</v>
      </c>
      <c r="V36" s="25" t="str">
        <f t="shared" si="4"/>
        <v>F</v>
      </c>
      <c r="W36" s="23"/>
    </row>
    <row r="37" ht="21" customHeight="1" spans="1:24">
      <c r="A37" s="128"/>
      <c r="B37" s="129"/>
      <c r="C37" s="30" t="s">
        <v>173</v>
      </c>
      <c r="D37" s="30" t="s">
        <v>168</v>
      </c>
      <c r="E37" s="134"/>
      <c r="F37" s="30" t="s">
        <v>169</v>
      </c>
      <c r="G37" s="135"/>
      <c r="H37" s="136"/>
      <c r="I37" s="137"/>
      <c r="J37" s="123">
        <f t="shared" si="0"/>
        <v>0</v>
      </c>
      <c r="K37" s="124"/>
      <c r="L37" s="125">
        <f t="shared" si="1"/>
        <v>691.23</v>
      </c>
      <c r="M37" s="123">
        <f>J37/(1+D32)^5</f>
        <v>0</v>
      </c>
      <c r="N37" s="124"/>
      <c r="O37" s="130">
        <f>O36+J37/(1+D32)^5</f>
        <v>621.63</v>
      </c>
      <c r="P37" s="131"/>
      <c r="Q37" s="101">
        <f>SUM(Q35:Q36)</f>
        <v>5218.43</v>
      </c>
      <c r="R37" s="101"/>
      <c r="S37" s="101" t="e">
        <f t="shared" si="2"/>
        <v>#DIV/0!</v>
      </c>
      <c r="T37" s="101" t="str">
        <f t="shared" si="5"/>
        <v>F</v>
      </c>
      <c r="U37" s="101" t="e">
        <f t="shared" si="3"/>
        <v>#DIV/0!</v>
      </c>
      <c r="V37" s="25" t="str">
        <f t="shared" si="4"/>
        <v>F</v>
      </c>
      <c r="W37" s="23"/>
    </row>
    <row r="38" ht="21" customHeight="1" spans="1:24">
      <c r="A38" s="128"/>
      <c r="B38" s="129"/>
      <c r="C38" s="30" t="s">
        <v>174</v>
      </c>
      <c r="D38" s="30" t="s">
        <v>168</v>
      </c>
      <c r="E38" s="134"/>
      <c r="F38" s="30" t="s">
        <v>169</v>
      </c>
      <c r="G38" s="135"/>
      <c r="H38" s="136"/>
      <c r="I38" s="137"/>
      <c r="J38" s="123">
        <f t="shared" si="0"/>
        <v>0</v>
      </c>
      <c r="K38" s="124"/>
      <c r="L38" s="125">
        <f t="shared" si="1"/>
        <v>691.23</v>
      </c>
      <c r="M38" s="123">
        <f>J38/(1+D32)^6</f>
        <v>0</v>
      </c>
      <c r="N38" s="124"/>
      <c r="O38" s="130">
        <f>O37+J38/(1+D32)^6</f>
        <v>621.63</v>
      </c>
      <c r="P38" s="131"/>
      <c r="Q38" s="101"/>
      <c r="R38" s="101"/>
      <c r="S38" s="101" t="e">
        <f t="shared" si="2"/>
        <v>#DIV/0!</v>
      </c>
      <c r="T38" s="101" t="str">
        <f t="shared" si="5"/>
        <v>F</v>
      </c>
      <c r="U38" s="101" t="e">
        <f t="shared" si="3"/>
        <v>#DIV/0!</v>
      </c>
      <c r="V38" s="25" t="str">
        <f t="shared" si="4"/>
        <v>F</v>
      </c>
      <c r="W38" s="23"/>
    </row>
    <row r="39" ht="21" customHeight="1" spans="1:24">
      <c r="A39" s="128"/>
      <c r="B39" s="129"/>
      <c r="C39" s="30" t="s">
        <v>175</v>
      </c>
      <c r="D39" s="30" t="s">
        <v>168</v>
      </c>
      <c r="E39" s="134"/>
      <c r="F39" s="30" t="s">
        <v>169</v>
      </c>
      <c r="G39" s="135"/>
      <c r="H39" s="136"/>
      <c r="I39" s="137"/>
      <c r="J39" s="123">
        <f t="shared" si="0"/>
        <v>0</v>
      </c>
      <c r="K39" s="124"/>
      <c r="L39" s="125">
        <f t="shared" si="1"/>
        <v>691.23</v>
      </c>
      <c r="M39" s="123">
        <f>J39/(1+D32)^7</f>
        <v>0</v>
      </c>
      <c r="N39" s="124"/>
      <c r="O39" s="130">
        <f>O38+J39/(1+D32)^7</f>
        <v>621.63</v>
      </c>
      <c r="P39" s="131"/>
      <c r="Q39" s="101"/>
      <c r="R39" s="101"/>
      <c r="S39" s="101" t="e">
        <f t="shared" si="2"/>
        <v>#DIV/0!</v>
      </c>
      <c r="T39" s="101" t="str">
        <f t="shared" si="5"/>
        <v>F</v>
      </c>
      <c r="U39" s="101" t="e">
        <f t="shared" si="3"/>
        <v>#DIV/0!</v>
      </c>
      <c r="V39" s="25" t="str">
        <f t="shared" si="4"/>
        <v>F</v>
      </c>
      <c r="W39" s="23"/>
    </row>
    <row r="40" ht="21" customHeight="1" spans="1:24">
      <c r="A40" s="128"/>
      <c r="B40" s="129"/>
      <c r="C40" s="30" t="s">
        <v>176</v>
      </c>
      <c r="D40" s="30" t="s">
        <v>168</v>
      </c>
      <c r="E40" s="134"/>
      <c r="F40" s="30" t="s">
        <v>169</v>
      </c>
      <c r="G40" s="135"/>
      <c r="H40" s="136"/>
      <c r="I40" s="137"/>
      <c r="J40" s="123">
        <f t="shared" si="0"/>
        <v>0</v>
      </c>
      <c r="K40" s="124"/>
      <c r="L40" s="125">
        <f t="shared" si="1"/>
        <v>691.23</v>
      </c>
      <c r="M40" s="123">
        <f>J40/(1+D32)^8</f>
        <v>0</v>
      </c>
      <c r="N40" s="124"/>
      <c r="O40" s="130">
        <f>O39+J40/(1+D32)^8</f>
        <v>621.63</v>
      </c>
      <c r="P40" s="131"/>
      <c r="Q40" s="101"/>
      <c r="R40" s="101"/>
      <c r="S40" s="101" t="e">
        <f t="shared" si="2"/>
        <v>#DIV/0!</v>
      </c>
      <c r="T40" s="101" t="str">
        <f t="shared" si="5"/>
        <v>F</v>
      </c>
      <c r="U40" s="101" t="e">
        <f t="shared" si="3"/>
        <v>#DIV/0!</v>
      </c>
      <c r="V40" s="25" t="str">
        <f t="shared" si="4"/>
        <v>F</v>
      </c>
      <c r="W40" s="23"/>
    </row>
    <row r="41" ht="21" customHeight="1" spans="1:24">
      <c r="A41" s="128"/>
      <c r="B41" s="129"/>
      <c r="C41" s="30" t="s">
        <v>177</v>
      </c>
      <c r="D41" s="30" t="s">
        <v>168</v>
      </c>
      <c r="E41" s="134"/>
      <c r="F41" s="30" t="s">
        <v>169</v>
      </c>
      <c r="G41" s="135"/>
      <c r="H41" s="136"/>
      <c r="I41" s="137"/>
      <c r="J41" s="123">
        <f t="shared" si="0"/>
        <v>0</v>
      </c>
      <c r="K41" s="124"/>
      <c r="L41" s="125">
        <f t="shared" si="1"/>
        <v>691.23</v>
      </c>
      <c r="M41" s="123">
        <f>J41/(1+D32)^9</f>
        <v>0</v>
      </c>
      <c r="N41" s="124"/>
      <c r="O41" s="130">
        <f>O40+J41/(1+D32)^9</f>
        <v>621.63</v>
      </c>
      <c r="P41" s="131"/>
      <c r="Q41" s="101"/>
      <c r="R41" s="101"/>
      <c r="S41" s="101" t="e">
        <f t="shared" si="2"/>
        <v>#DIV/0!</v>
      </c>
      <c r="T41" s="101" t="str">
        <f t="shared" si="5"/>
        <v>F</v>
      </c>
      <c r="U41" s="101" t="e">
        <f t="shared" si="3"/>
        <v>#DIV/0!</v>
      </c>
      <c r="V41" s="25" t="str">
        <f t="shared" si="4"/>
        <v>F</v>
      </c>
      <c r="W41" s="23"/>
    </row>
    <row r="42" ht="21" customHeight="1" spans="1:24">
      <c r="A42" s="128"/>
      <c r="B42" s="129"/>
      <c r="C42" s="30" t="s">
        <v>178</v>
      </c>
      <c r="D42" s="30" t="s">
        <v>168</v>
      </c>
      <c r="E42" s="134"/>
      <c r="F42" s="30" t="s">
        <v>169</v>
      </c>
      <c r="G42" s="135"/>
      <c r="H42" s="136"/>
      <c r="I42" s="137"/>
      <c r="J42" s="123">
        <f t="shared" si="0"/>
        <v>0</v>
      </c>
      <c r="K42" s="124"/>
      <c r="L42" s="125">
        <f t="shared" si="1"/>
        <v>691.23</v>
      </c>
      <c r="M42" s="123">
        <f>J42/(1+D32)^10</f>
        <v>0</v>
      </c>
      <c r="N42" s="124"/>
      <c r="O42" s="130">
        <f>O41+J42/(1+D32)^10</f>
        <v>621.63</v>
      </c>
      <c r="P42" s="131"/>
      <c r="Q42" s="101">
        <f>G33*1.06</f>
        <v>2609.21</v>
      </c>
      <c r="R42" s="101"/>
      <c r="S42" s="101" t="e">
        <f t="shared" si="2"/>
        <v>#DIV/0!</v>
      </c>
      <c r="T42" s="101" t="str">
        <f t="shared" si="5"/>
        <v>F</v>
      </c>
      <c r="U42" s="101" t="e">
        <f t="shared" si="3"/>
        <v>#DIV/0!</v>
      </c>
      <c r="V42" s="25" t="str">
        <f t="shared" si="4"/>
        <v>F</v>
      </c>
      <c r="W42" s="23"/>
    </row>
    <row r="43" ht="21" customHeight="1" spans="1:24">
      <c r="A43" s="109"/>
      <c r="B43" s="138"/>
      <c r="C43" s="30" t="s">
        <v>179</v>
      </c>
      <c r="D43" s="30" t="s">
        <v>168</v>
      </c>
      <c r="E43" s="139">
        <f>NPV(D32,E33,E34,E35,E36,E37,E38,E39,E40,E41,E42)</f>
        <v>7262.65</v>
      </c>
      <c r="F43" s="30" t="s">
        <v>180</v>
      </c>
      <c r="G43" s="130">
        <f>NPV(D32,G33:I42)</f>
        <v>6641.02</v>
      </c>
      <c r="H43" s="140"/>
      <c r="I43" s="131"/>
      <c r="J43" s="130"/>
      <c r="K43" s="131"/>
      <c r="L43" s="140"/>
      <c r="M43" s="130"/>
      <c r="N43" s="131"/>
      <c r="O43" s="139"/>
      <c r="P43" s="139"/>
      <c r="Q43" s="101"/>
      <c r="R43" s="101"/>
      <c r="S43" s="101"/>
      <c r="T43" s="25"/>
      <c r="U43" s="101"/>
      <c r="V43" s="25"/>
      <c r="W43" s="141"/>
      <c r="X43" s="142"/>
    </row>
    <row r="44" ht="21" customHeight="1" spans="1:24">
      <c r="A44" s="143" t="s">
        <v>181</v>
      </c>
      <c r="B44" s="144"/>
      <c r="C44" s="145">
        <f>NPV(D32,J33:K42)</f>
        <v>621.63</v>
      </c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7"/>
      <c r="Q44" s="148"/>
      <c r="R44" s="101"/>
      <c r="S44" s="101" t="e">
        <f>INDEX(S33:T42,T44,1)</f>
        <v>#REF!</v>
      </c>
      <c r="T44" s="101">
        <f>MATCH("T",T33:T42,0)</f>
        <v>1</v>
      </c>
      <c r="U44" s="101" t="e">
        <f>INDEX(U33:V42,V44,1)</f>
        <v>#REF!</v>
      </c>
      <c r="V44" s="101">
        <f>MATCH("T",V33:V42,0)</f>
        <v>1</v>
      </c>
      <c r="W44" s="141"/>
    </row>
    <row r="45" ht="21" customHeight="1" spans="1:24">
      <c r="A45" s="149" t="s">
        <v>182</v>
      </c>
      <c r="B45" s="150"/>
      <c r="C45" s="151">
        <f>IF(T44=1,1,IF(S44=1,T44,T44+S44))</f>
        <v>1</v>
      </c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3"/>
      <c r="Q45" s="148"/>
      <c r="R45" s="101"/>
      <c r="S45" s="101"/>
      <c r="T45" s="101"/>
      <c r="U45" s="101"/>
      <c r="V45" s="101"/>
      <c r="W45" s="101"/>
    </row>
    <row r="46" ht="21" customHeight="1" spans="1:24">
      <c r="A46" s="149" t="s">
        <v>16</v>
      </c>
      <c r="B46" s="150"/>
      <c r="C46" s="154">
        <f>C44/G43</f>
        <v>0.0936</v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6"/>
      <c r="Q46" s="157"/>
      <c r="R46" s="158"/>
      <c r="S46" s="101"/>
      <c r="T46" s="101"/>
      <c r="U46" s="101"/>
      <c r="V46" s="101"/>
      <c r="W46" s="101"/>
    </row>
    <row r="47" ht="21" customHeight="1" spans="1:24">
      <c r="A47" s="159" t="s">
        <v>25</v>
      </c>
      <c r="B47" s="160"/>
      <c r="C47" s="161" t="e">
        <f>IRR(J33:J42)</f>
        <v>#NUM!</v>
      </c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3"/>
      <c r="Q47" s="157"/>
      <c r="R47" s="101"/>
      <c r="S47" s="101"/>
      <c r="T47" s="101"/>
      <c r="U47" s="101"/>
      <c r="V47" s="101"/>
      <c r="W47" s="101"/>
    </row>
    <row r="48" ht="21" customHeight="1" spans="1:24">
      <c r="A48" s="164" t="s">
        <v>183</v>
      </c>
      <c r="B48" s="164"/>
      <c r="C48" s="161">
        <f>(G10-G31)/G10</f>
        <v>0.0856</v>
      </c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3"/>
      <c r="P48" s="165"/>
      <c r="Q48" s="157"/>
      <c r="R48" s="101"/>
      <c r="S48" s="101"/>
      <c r="T48" s="101"/>
      <c r="U48" s="101"/>
      <c r="V48" s="101"/>
      <c r="W48" s="101"/>
    </row>
    <row r="49" ht="21.6" customHeight="1" spans="1:23">
      <c r="A49" s="164" t="s">
        <v>84</v>
      </c>
      <c r="B49" s="164"/>
      <c r="C49" s="166">
        <f>IF(V44=1,1,IF(U44=1,V44,V44+U44))</f>
        <v>1</v>
      </c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8"/>
      <c r="P49" s="101"/>
      <c r="Q49" s="101"/>
      <c r="R49" s="101"/>
      <c r="S49" s="101"/>
      <c r="T49" s="101"/>
      <c r="U49" s="101"/>
      <c r="W49" s="23"/>
    </row>
    <row r="50" ht="21.6" customHeight="1" spans="1:23">
      <c r="A50" s="169" t="s">
        <v>184</v>
      </c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1"/>
      <c r="P50" s="101"/>
      <c r="Q50" s="101"/>
      <c r="R50" s="101"/>
      <c r="S50" s="101"/>
      <c r="T50" s="101"/>
      <c r="U50" s="101"/>
      <c r="W50" s="23"/>
    </row>
    <row r="51" ht="21.6" customHeight="1" spans="1:23">
      <c r="A51" s="172"/>
      <c r="B51" s="173"/>
      <c r="C51" s="173"/>
      <c r="D51" s="174" t="s">
        <v>185</v>
      </c>
      <c r="E51" s="175">
        <f>SUM(G3:G6)</f>
        <v>6886.79</v>
      </c>
      <c r="F51" s="174" t="s">
        <v>186</v>
      </c>
      <c r="G51" s="176">
        <f>SUM(G11:I20)</f>
        <v>6839.62</v>
      </c>
      <c r="H51" s="177"/>
      <c r="I51" s="173"/>
      <c r="J51" s="178" t="s">
        <v>187</v>
      </c>
      <c r="K51" s="179"/>
      <c r="L51" s="180" t="s">
        <v>188</v>
      </c>
      <c r="M51" s="181" t="s">
        <v>189</v>
      </c>
      <c r="N51" s="182"/>
      <c r="O51" s="183" t="s">
        <v>190</v>
      </c>
      <c r="P51" s="184"/>
      <c r="Q51" s="101"/>
      <c r="R51" s="101"/>
      <c r="S51" s="101"/>
      <c r="T51" s="101"/>
      <c r="U51" s="101"/>
      <c r="W51" s="23"/>
    </row>
    <row r="52" ht="19.2" customHeight="1" spans="1:23">
      <c r="A52" s="117" t="s">
        <v>191</v>
      </c>
      <c r="B52" s="118"/>
      <c r="C52" s="30" t="s">
        <v>167</v>
      </c>
      <c r="D52" s="51" t="s">
        <v>192</v>
      </c>
      <c r="E52" s="120">
        <f>E51/3</f>
        <v>2295.6</v>
      </c>
      <c r="F52" s="30" t="s">
        <v>193</v>
      </c>
      <c r="G52" s="121">
        <f>G51/3</f>
        <v>2279.87</v>
      </c>
      <c r="H52" s="122"/>
      <c r="I52" s="122"/>
      <c r="J52" s="123">
        <f t="shared" ref="J52:J61" si="6">E52-G52</f>
        <v>15.73</v>
      </c>
      <c r="K52" s="124"/>
      <c r="L52" s="125">
        <f>J52</f>
        <v>15.73</v>
      </c>
      <c r="M52" s="123">
        <f>J52/(1+D32)^1</f>
        <v>14.91</v>
      </c>
      <c r="N52" s="124"/>
      <c r="O52" s="126">
        <f>J52/(1+D32)^1</f>
        <v>14.91</v>
      </c>
      <c r="P52" s="127"/>
      <c r="U52" s="24"/>
      <c r="W52" s="23"/>
    </row>
    <row r="53" ht="19.2" customHeight="1" spans="1:23">
      <c r="A53" s="128"/>
      <c r="B53" s="129"/>
      <c r="C53" s="30" t="s">
        <v>170</v>
      </c>
      <c r="D53" s="30" t="s">
        <v>192</v>
      </c>
      <c r="E53" s="120">
        <f>E51/3</f>
        <v>2295.6</v>
      </c>
      <c r="F53" s="30" t="s">
        <v>193</v>
      </c>
      <c r="G53" s="121">
        <f>G51/3</f>
        <v>2279.87</v>
      </c>
      <c r="H53" s="122"/>
      <c r="I53" s="122"/>
      <c r="J53" s="123">
        <f t="shared" si="6"/>
        <v>15.73</v>
      </c>
      <c r="K53" s="124"/>
      <c r="L53" s="125">
        <f t="shared" ref="L53:L61" si="7">L52+J53</f>
        <v>31.46</v>
      </c>
      <c r="M53" s="123">
        <f>J53/(1+D32)^2</f>
        <v>14.13</v>
      </c>
      <c r="N53" s="124"/>
      <c r="O53" s="130">
        <f>O52+J53/(1+D32)^2</f>
        <v>29.04</v>
      </c>
      <c r="P53" s="131"/>
      <c r="U53" s="24"/>
      <c r="W53" s="23"/>
    </row>
    <row r="54" ht="21.15" spans="1:23">
      <c r="A54" s="128"/>
      <c r="B54" s="129"/>
      <c r="C54" s="30" t="s">
        <v>171</v>
      </c>
      <c r="D54" s="30" t="s">
        <v>192</v>
      </c>
      <c r="E54" s="120">
        <f>E51/3</f>
        <v>2295.6</v>
      </c>
      <c r="F54" s="30" t="s">
        <v>193</v>
      </c>
      <c r="G54" s="121">
        <f>G51/3</f>
        <v>2279.87</v>
      </c>
      <c r="H54" s="122"/>
      <c r="I54" s="122"/>
      <c r="J54" s="123">
        <f t="shared" si="6"/>
        <v>15.73</v>
      </c>
      <c r="K54" s="124"/>
      <c r="L54" s="125">
        <f t="shared" si="7"/>
        <v>47.19</v>
      </c>
      <c r="M54" s="123">
        <f>J54/(1+D32)^3</f>
        <v>13.4</v>
      </c>
      <c r="N54" s="124"/>
      <c r="O54" s="130">
        <f>O53+J54/(1+D32)^3</f>
        <v>42.44</v>
      </c>
      <c r="P54" s="131"/>
    </row>
    <row r="55" ht="21.15" spans="1:23">
      <c r="A55" s="128"/>
      <c r="B55" s="129"/>
      <c r="C55" s="30" t="s">
        <v>172</v>
      </c>
      <c r="D55" s="30" t="s">
        <v>192</v>
      </c>
      <c r="E55" s="134"/>
      <c r="F55" s="30" t="s">
        <v>193</v>
      </c>
      <c r="G55" s="135"/>
      <c r="H55" s="136"/>
      <c r="I55" s="137"/>
      <c r="J55" s="123">
        <f t="shared" si="6"/>
        <v>0</v>
      </c>
      <c r="K55" s="124"/>
      <c r="L55" s="125">
        <f t="shared" si="7"/>
        <v>47.19</v>
      </c>
      <c r="M55" s="123">
        <f>J55/(1+D32)^4</f>
        <v>0</v>
      </c>
      <c r="N55" s="124"/>
      <c r="O55" s="130">
        <f>O54+J55/(1+D32)^4</f>
        <v>42.44</v>
      </c>
      <c r="P55" s="131"/>
    </row>
    <row r="56" ht="21.15" spans="1:23">
      <c r="A56" s="128"/>
      <c r="B56" s="129"/>
      <c r="C56" s="30" t="s">
        <v>173</v>
      </c>
      <c r="D56" s="30" t="s">
        <v>192</v>
      </c>
      <c r="E56" s="134"/>
      <c r="F56" s="30" t="s">
        <v>193</v>
      </c>
      <c r="G56" s="135"/>
      <c r="H56" s="136"/>
      <c r="I56" s="137"/>
      <c r="J56" s="123">
        <f t="shared" si="6"/>
        <v>0</v>
      </c>
      <c r="K56" s="124"/>
      <c r="L56" s="125">
        <f t="shared" si="7"/>
        <v>47.19</v>
      </c>
      <c r="M56" s="123">
        <f>J56/(1+D32)^5</f>
        <v>0</v>
      </c>
      <c r="N56" s="124"/>
      <c r="O56" s="130">
        <f>O55+J56/(1+D32)^5</f>
        <v>42.44</v>
      </c>
      <c r="P56" s="131"/>
    </row>
    <row r="57" ht="21.15" spans="1:23">
      <c r="A57" s="128"/>
      <c r="B57" s="129"/>
      <c r="C57" s="30" t="s">
        <v>174</v>
      </c>
      <c r="D57" s="30" t="s">
        <v>192</v>
      </c>
      <c r="E57" s="134"/>
      <c r="F57" s="30" t="s">
        <v>193</v>
      </c>
      <c r="G57" s="135"/>
      <c r="H57" s="136"/>
      <c r="I57" s="137"/>
      <c r="J57" s="123">
        <f t="shared" si="6"/>
        <v>0</v>
      </c>
      <c r="K57" s="124"/>
      <c r="L57" s="125">
        <f t="shared" si="7"/>
        <v>47.19</v>
      </c>
      <c r="M57" s="123">
        <f>J57/(1+D32)^6</f>
        <v>0</v>
      </c>
      <c r="N57" s="124"/>
      <c r="O57" s="130">
        <f>O56+J57/(1+D32)^6</f>
        <v>42.44</v>
      </c>
      <c r="P57" s="131"/>
    </row>
    <row r="58" ht="21.15" spans="1:23">
      <c r="A58" s="128"/>
      <c r="B58" s="129"/>
      <c r="C58" s="30" t="s">
        <v>175</v>
      </c>
      <c r="D58" s="30" t="s">
        <v>192</v>
      </c>
      <c r="E58" s="134"/>
      <c r="F58" s="30" t="s">
        <v>193</v>
      </c>
      <c r="G58" s="135"/>
      <c r="H58" s="136"/>
      <c r="I58" s="137"/>
      <c r="J58" s="123">
        <f t="shared" si="6"/>
        <v>0</v>
      </c>
      <c r="K58" s="124"/>
      <c r="L58" s="125">
        <f t="shared" si="7"/>
        <v>47.19</v>
      </c>
      <c r="M58" s="123">
        <f>J58/(1+D32)^7</f>
        <v>0</v>
      </c>
      <c r="N58" s="124"/>
      <c r="O58" s="130">
        <f>O57+J58/(1+D32)^7</f>
        <v>42.44</v>
      </c>
      <c r="P58" s="131"/>
    </row>
    <row r="59" ht="21.15" spans="1:23">
      <c r="A59" s="128"/>
      <c r="B59" s="129"/>
      <c r="C59" s="30" t="s">
        <v>176</v>
      </c>
      <c r="D59" s="30" t="s">
        <v>192</v>
      </c>
      <c r="E59" s="134"/>
      <c r="F59" s="30" t="s">
        <v>193</v>
      </c>
      <c r="G59" s="135"/>
      <c r="H59" s="136"/>
      <c r="I59" s="137"/>
      <c r="J59" s="123">
        <f t="shared" si="6"/>
        <v>0</v>
      </c>
      <c r="K59" s="124"/>
      <c r="L59" s="125">
        <f t="shared" si="7"/>
        <v>47.19</v>
      </c>
      <c r="M59" s="123">
        <f>J59/(1+D32)^8</f>
        <v>0</v>
      </c>
      <c r="N59" s="124"/>
      <c r="O59" s="130">
        <f>O58+J59/(1+D32)^8</f>
        <v>42.44</v>
      </c>
      <c r="P59" s="131"/>
    </row>
    <row r="60" ht="21.15" spans="1:23">
      <c r="A60" s="128"/>
      <c r="B60" s="129"/>
      <c r="C60" s="30" t="s">
        <v>177</v>
      </c>
      <c r="D60" s="30" t="s">
        <v>192</v>
      </c>
      <c r="E60" s="134"/>
      <c r="F60" s="30" t="s">
        <v>193</v>
      </c>
      <c r="G60" s="135"/>
      <c r="H60" s="136"/>
      <c r="I60" s="137"/>
      <c r="J60" s="123">
        <f t="shared" si="6"/>
        <v>0</v>
      </c>
      <c r="K60" s="124"/>
      <c r="L60" s="125">
        <f t="shared" si="7"/>
        <v>47.19</v>
      </c>
      <c r="M60" s="123">
        <f>J60/(1+D32)^9</f>
        <v>0</v>
      </c>
      <c r="N60" s="124"/>
      <c r="O60" s="130">
        <f>O59+J60/(1+D32)^9</f>
        <v>42.44</v>
      </c>
      <c r="P60" s="131"/>
    </row>
    <row r="61" ht="21.15" spans="1:23">
      <c r="A61" s="128"/>
      <c r="B61" s="129"/>
      <c r="C61" s="30" t="s">
        <v>178</v>
      </c>
      <c r="D61" s="30" t="s">
        <v>192</v>
      </c>
      <c r="E61" s="134"/>
      <c r="F61" s="30" t="s">
        <v>193</v>
      </c>
      <c r="G61" s="135"/>
      <c r="H61" s="136"/>
      <c r="I61" s="137"/>
      <c r="J61" s="123">
        <f t="shared" si="6"/>
        <v>0</v>
      </c>
      <c r="K61" s="124"/>
      <c r="L61" s="125">
        <f t="shared" si="7"/>
        <v>47.19</v>
      </c>
      <c r="M61" s="123">
        <f>J61/(1+D32)^10</f>
        <v>0</v>
      </c>
      <c r="N61" s="124"/>
      <c r="O61" s="130">
        <f>O60+J61/(1+D32)^10</f>
        <v>42.44</v>
      </c>
      <c r="P61" s="131"/>
      <c r="W61" s="23"/>
    </row>
    <row r="62" ht="21.15" spans="1:23">
      <c r="A62" s="109"/>
      <c r="B62" s="138"/>
      <c r="C62" s="30" t="s">
        <v>179</v>
      </c>
      <c r="D62" s="30" t="s">
        <v>168</v>
      </c>
      <c r="E62" s="139">
        <f>NPV(D32,E52:E61)</f>
        <v>6193.38</v>
      </c>
      <c r="F62" s="30" t="s">
        <v>194</v>
      </c>
      <c r="G62" s="130">
        <f>NPV(D32,G52:I61)</f>
        <v>6150.94</v>
      </c>
      <c r="H62" s="140"/>
      <c r="I62" s="131"/>
      <c r="J62" s="130"/>
      <c r="K62" s="131"/>
      <c r="L62" s="140"/>
      <c r="M62" s="130"/>
      <c r="N62" s="131"/>
      <c r="O62" s="139"/>
      <c r="P62" s="139"/>
      <c r="W62" s="23"/>
    </row>
    <row r="63" ht="21.15" spans="1:23">
      <c r="A63" s="185" t="s">
        <v>195</v>
      </c>
      <c r="B63" s="186"/>
      <c r="C63" s="145">
        <f>NPV(D32,J52:K61)</f>
        <v>42.44</v>
      </c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7"/>
      <c r="P63" s="187"/>
      <c r="W63" s="23"/>
    </row>
    <row r="64" ht="21.15" spans="1:23">
      <c r="A64" s="185" t="s">
        <v>29</v>
      </c>
      <c r="B64" s="186"/>
      <c r="C64" s="161">
        <f>C63/G62</f>
        <v>0.0069</v>
      </c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3"/>
    </row>
    <row r="65" ht="21.15" spans="1:15">
      <c r="A65" s="185" t="s">
        <v>85</v>
      </c>
      <c r="B65" s="186"/>
      <c r="C65" s="188">
        <f>(E51-G51)/E51</f>
        <v>0.0068</v>
      </c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90"/>
    </row>
    <row r="67" spans="1:15">
      <c r="B67" s="191" t="s">
        <v>196</v>
      </c>
      <c r="C67" s="192"/>
      <c r="D67" s="192"/>
      <c r="E67" s="192"/>
      <c r="F67" s="192"/>
      <c r="G67" s="192"/>
      <c r="H67" s="192"/>
    </row>
    <row r="68" spans="1:15">
      <c r="B68" s="192" t="s">
        <v>197</v>
      </c>
      <c r="C68" s="192"/>
      <c r="D68" s="192"/>
      <c r="E68" s="192"/>
      <c r="F68" s="192"/>
      <c r="G68" s="192"/>
      <c r="H68" s="192"/>
    </row>
    <row r="69" spans="1:15">
      <c r="B69" s="23" t="s">
        <v>198</v>
      </c>
    </row>
    <row r="70" spans="1:15">
      <c r="B70" s="23" t="s">
        <v>199</v>
      </c>
    </row>
    <row r="71" spans="1:15">
      <c r="B71" s="23" t="s">
        <v>200</v>
      </c>
      <c r="E71" s="142"/>
    </row>
    <row r="72" spans="1:15">
      <c r="B72" s="193" t="s">
        <v>201</v>
      </c>
    </row>
  </sheetData>
  <protectedRanges>
    <protectedRange sqref="D32 O2 D2 G5:G10 G16:G17 G28:G31 E33 R25 R21 G24 Q35 I16:N23 I24:N31 I6:N6 I5:N10 I13:N13 G12 G23" name="区域2_2"/>
    <protectedRange sqref="G54:G61 G36:G42" name="区域1_2"/>
    <protectedRange sqref="G3:G8 G11 G23 G14" name="区域2_2_1"/>
    <protectedRange sqref="R25 R21 G25:G26 G24 G21:G22" name="区域2_2_2"/>
    <protectedRange sqref="G16 R25 R21 G24" name="区域2_2_3"/>
  </protectedRanges>
  <mergeCells count="194">
    <mergeCell ref="B1:P1"/>
    <mergeCell ref="A2:B2"/>
    <mergeCell ref="D2:F2"/>
    <mergeCell ref="H2:P2"/>
    <mergeCell ref="D3:F3"/>
    <mergeCell ref="J3:P3"/>
    <mergeCell ref="D4:F4"/>
    <mergeCell ref="I4:P4"/>
    <mergeCell ref="D5:F5"/>
    <mergeCell ref="I5:P5"/>
    <mergeCell ref="D6:F6"/>
    <mergeCell ref="I6:P6"/>
    <mergeCell ref="D7:F7"/>
    <mergeCell ref="I7:P7"/>
    <mergeCell ref="D8:F8"/>
    <mergeCell ref="I8:P8"/>
    <mergeCell ref="D9:F9"/>
    <mergeCell ref="J9:P9"/>
    <mergeCell ref="D10:F10"/>
    <mergeCell ref="I10:P10"/>
    <mergeCell ref="E11:F11"/>
    <mergeCell ref="I11:P11"/>
    <mergeCell ref="E12:F12"/>
    <mergeCell ref="I12:P12"/>
    <mergeCell ref="E13:F13"/>
    <mergeCell ref="I13:P13"/>
    <mergeCell ref="E14:F14"/>
    <mergeCell ref="I14:P14"/>
    <mergeCell ref="E15:F15"/>
    <mergeCell ref="I15:P15"/>
    <mergeCell ref="E16:F16"/>
    <mergeCell ref="I16:P16"/>
    <mergeCell ref="E17:F17"/>
    <mergeCell ref="I17:P17"/>
    <mergeCell ref="E18:F18"/>
    <mergeCell ref="I18:P18"/>
    <mergeCell ref="E19:F19"/>
    <mergeCell ref="I19:P19"/>
    <mergeCell ref="E20:F20"/>
    <mergeCell ref="I20:P20"/>
    <mergeCell ref="E21:F21"/>
    <mergeCell ref="I21:P21"/>
    <mergeCell ref="E22:F22"/>
    <mergeCell ref="I22:P22"/>
    <mergeCell ref="E23:F23"/>
    <mergeCell ref="J23:P23"/>
    <mergeCell ref="E24:F24"/>
    <mergeCell ref="J24:P24"/>
    <mergeCell ref="E25:F25"/>
    <mergeCell ref="I25:P25"/>
    <mergeCell ref="E26:F26"/>
    <mergeCell ref="I26:P26"/>
    <mergeCell ref="E27:F27"/>
    <mergeCell ref="I27:P27"/>
    <mergeCell ref="D28:F28"/>
    <mergeCell ref="I28:P28"/>
    <mergeCell ref="D29:F29"/>
    <mergeCell ref="I29:P29"/>
    <mergeCell ref="D30:F30"/>
    <mergeCell ref="J30:O30"/>
    <mergeCell ref="D31:F31"/>
    <mergeCell ref="J31:O31"/>
    <mergeCell ref="A32:B32"/>
    <mergeCell ref="D32:H32"/>
    <mergeCell ref="J32:K32"/>
    <mergeCell ref="M32:N32"/>
    <mergeCell ref="O32:P32"/>
    <mergeCell ref="G33:I33"/>
    <mergeCell ref="J33:K33"/>
    <mergeCell ref="M33:N33"/>
    <mergeCell ref="O33:P33"/>
    <mergeCell ref="G34:I34"/>
    <mergeCell ref="J34:K34"/>
    <mergeCell ref="M34:N34"/>
    <mergeCell ref="O34:P34"/>
    <mergeCell ref="G35:H35"/>
    <mergeCell ref="J35:K35"/>
    <mergeCell ref="M35:N35"/>
    <mergeCell ref="O35:P35"/>
    <mergeCell ref="G36:I36"/>
    <mergeCell ref="J36:K36"/>
    <mergeCell ref="M36:N36"/>
    <mergeCell ref="O36:P36"/>
    <mergeCell ref="G37:I37"/>
    <mergeCell ref="J37:K37"/>
    <mergeCell ref="M37:N37"/>
    <mergeCell ref="O37:P37"/>
    <mergeCell ref="G38:I38"/>
    <mergeCell ref="J38:K38"/>
    <mergeCell ref="M38:N38"/>
    <mergeCell ref="O38:P38"/>
    <mergeCell ref="G39:I39"/>
    <mergeCell ref="J39:K39"/>
    <mergeCell ref="M39:N39"/>
    <mergeCell ref="O39:P39"/>
    <mergeCell ref="G40:I40"/>
    <mergeCell ref="J40:K40"/>
    <mergeCell ref="M40:N40"/>
    <mergeCell ref="O40:P40"/>
    <mergeCell ref="G41:I41"/>
    <mergeCell ref="J41:K41"/>
    <mergeCell ref="M41:N41"/>
    <mergeCell ref="O41:P41"/>
    <mergeCell ref="G42:I42"/>
    <mergeCell ref="J42:K42"/>
    <mergeCell ref="M42:N42"/>
    <mergeCell ref="O42:P42"/>
    <mergeCell ref="G43:I43"/>
    <mergeCell ref="J43:K43"/>
    <mergeCell ref="M43:N43"/>
    <mergeCell ref="O43:P43"/>
    <mergeCell ref="A44:B44"/>
    <mergeCell ref="C44:P44"/>
    <mergeCell ref="A45:B45"/>
    <mergeCell ref="C45:P45"/>
    <mergeCell ref="A46:B46"/>
    <mergeCell ref="C46:P46"/>
    <mergeCell ref="A47:B47"/>
    <mergeCell ref="C47:P47"/>
    <mergeCell ref="A48:B48"/>
    <mergeCell ref="C48:O48"/>
    <mergeCell ref="A49:B49"/>
    <mergeCell ref="C49:O49"/>
    <mergeCell ref="A50:O50"/>
    <mergeCell ref="G51:H51"/>
    <mergeCell ref="J51:K51"/>
    <mergeCell ref="M51:N51"/>
    <mergeCell ref="O51:P51"/>
    <mergeCell ref="G52:I52"/>
    <mergeCell ref="J52:K52"/>
    <mergeCell ref="M52:N52"/>
    <mergeCell ref="O52:P52"/>
    <mergeCell ref="G53:I53"/>
    <mergeCell ref="J53:K53"/>
    <mergeCell ref="M53:N53"/>
    <mergeCell ref="O53:P53"/>
    <mergeCell ref="G54:I54"/>
    <mergeCell ref="J54:K54"/>
    <mergeCell ref="M54:N54"/>
    <mergeCell ref="O54:P54"/>
    <mergeCell ref="G55:I55"/>
    <mergeCell ref="J55:K55"/>
    <mergeCell ref="M55:N55"/>
    <mergeCell ref="O55:P55"/>
    <mergeCell ref="G56:I56"/>
    <mergeCell ref="J56:K56"/>
    <mergeCell ref="M56:N56"/>
    <mergeCell ref="O56:P56"/>
    <mergeCell ref="G57:I57"/>
    <mergeCell ref="J57:K57"/>
    <mergeCell ref="M57:N57"/>
    <mergeCell ref="O57:P57"/>
    <mergeCell ref="G58:I58"/>
    <mergeCell ref="J58:K58"/>
    <mergeCell ref="M58:N58"/>
    <mergeCell ref="O58:P58"/>
    <mergeCell ref="G59:I59"/>
    <mergeCell ref="J59:K59"/>
    <mergeCell ref="M59:N59"/>
    <mergeCell ref="O59:P59"/>
    <mergeCell ref="G60:I60"/>
    <mergeCell ref="J60:K60"/>
    <mergeCell ref="M60:N60"/>
    <mergeCell ref="O60:P60"/>
    <mergeCell ref="G61:I61"/>
    <mergeCell ref="J61:K61"/>
    <mergeCell ref="M61:N61"/>
    <mergeCell ref="O61:P61"/>
    <mergeCell ref="G62:I62"/>
    <mergeCell ref="J62:K62"/>
    <mergeCell ref="M62:N62"/>
    <mergeCell ref="O62:P62"/>
    <mergeCell ref="A63:B63"/>
    <mergeCell ref="C63:O63"/>
    <mergeCell ref="A64:B64"/>
    <mergeCell ref="C64:O64"/>
    <mergeCell ref="A65:B65"/>
    <mergeCell ref="C65:O65"/>
    <mergeCell ref="B67:H67"/>
    <mergeCell ref="B68:H68"/>
    <mergeCell ref="C3:C6"/>
    <mergeCell ref="C7:C8"/>
    <mergeCell ref="C11:C20"/>
    <mergeCell ref="C21:C26"/>
    <mergeCell ref="C28:C30"/>
    <mergeCell ref="D11:D15"/>
    <mergeCell ref="D16:D17"/>
    <mergeCell ref="D18:D20"/>
    <mergeCell ref="D21:D24"/>
    <mergeCell ref="D25:D26"/>
    <mergeCell ref="A3:B10"/>
    <mergeCell ref="A33:B43"/>
    <mergeCell ref="A52:B62"/>
    <mergeCell ref="A11:B31"/>
  </mergeCells>
  <dataValidations count="2">
    <dataValidation type="list" allowBlank="1" showInputMessage="1" showErrorMessage="1" sqref="JF2:JH2 TB2:TD2 ACX2:ACZ2 AMT2:AMV2 AWP2:AWR2 BGL2:BGN2 BQH2:BQJ2 CAD2:CAF2 CJZ2:CKB2 CTV2:CTX2 DDR2:DDT2 DNN2:DNP2 DXJ2:DXL2 EHF2:EHH2 ERB2:ERD2 FAX2:FAZ2 FKT2:FKV2 FUP2:FUR2 GEL2:GEN2 GOH2:GOJ2 GYD2:GYF2 HHZ2:HIB2 HRV2:HRX2 IBR2:IBT2 ILN2:ILP2 IVJ2:IVL2 JFF2:JFH2 JPB2:JPD2 JYX2:JYZ2 KIT2:KIV2 KSP2:KSR2 LCL2:LCN2 LMH2:LMJ2 LWD2:LWF2 MFZ2:MGB2 MPV2:MPX2 MZR2:MZT2 NJN2:NJP2 NTJ2:NTL2 ODF2:ODH2 ONB2:OND2 OWX2:OWZ2 PGT2:PGV2 PQP2:PQR2 QAL2:QAN2 QKH2:QKJ2 QUD2:QUF2 RDZ2:REB2 RNV2:RNX2 RXR2:RXT2 SHN2:SHP2 SRJ2:SRL2 TBF2:TBH2 TLB2:TLD2 TUX2:TUZ2 UET2:UEV2 UOP2:UOR2 UYL2:UYN2 VIH2:VIJ2 VSD2:VSF2 WBZ2:WCB2 WLV2:WLX2 WVR2:WVT2 JF65504:JH65504 TB65504:TD65504 ACX65504:ACZ65504 AMT65504:AMV65504 AWP65504:AWR65504 BGL65504:BGN65504 BQH65504:BQJ65504 CAD65504:CAF65504 CJZ65504:CKB65504 CTV65504:CTX65504 DDR65504:DDT65504 DNN65504:DNP65504 DXJ65504:DXL65504 EHF65504:EHH65504 ERB65504:ERD65504 FAX65504:FAZ65504 FKT65504:FKV65504 FUP65504:FUR65504 GEL65504:GEN65504 GOH65504:GOJ65504 GYD65504:GYF65504 HHZ65504:HIB65504 HRV65504:HRX65504 IBR65504:IBT65504 ILN65504:ILP65504 IVJ65504:IVL65504 JFF65504:JFH65504 JPB65504:JPD65504 JYX65504:JYZ65504 KIT65504:KIV65504 KSP65504:KSR65504 LCL65504:LCN65504 LMH65504:LMJ65504 LWD65504:LWF65504 MFZ65504:MGB65504 MPV65504:MPX65504 MZR65504:MZT65504 NJN65504:NJP65504 NTJ65504:NTL65504 ODF65504:ODH65504 ONB65504:OND65504 OWX65504:OWZ65504 PGT65504:PGV65504 PQP65504:PQR65504 QAL65504:QAN65504 QKH65504:QKJ65504 QUD65504:QUF65504 RDZ65504:REB65504 RNV65504:RNX65504 RXR65504:RXT65504 SHN65504:SHP65504 SRJ65504:SRL65504 TBF65504:TBH65504 TLB65504:TLD65504 TUX65504:TUZ65504 UET65504:UEV65504 UOP65504:UOR65504 UYL65504:UYN65504 VIH65504:VIJ65504 VSD65504:VSF65504 WBZ65504:WCB65504 WLV65504:WLX65504 WVR65504:WVT65504 H65515:N65515 JF131040:JH131040 TB131040:TD131040 ACX131040:ACZ131040 AMT131040:AMV131040 AWP131040:AWR131040 BGL131040:BGN131040 BQH131040:BQJ131040 CAD131040:CAF131040 CJZ131040:CKB131040 CTV131040:CTX131040 DDR131040:DDT131040 DNN131040:DNP131040 DXJ131040:DXL131040 EHF131040:EHH131040 ERB131040:ERD131040 FAX131040:FAZ131040 FKT131040:FKV131040 FUP131040:FUR131040 GEL131040:GEN131040 GOH131040:GOJ131040 GYD131040:GYF131040 HHZ131040:HIB131040 HRV131040:HRX131040 IBR131040:IBT131040 ILN131040:ILP131040 IVJ131040:IVL131040 JFF131040:JFH131040 JPB131040:JPD131040 JYX131040:JYZ131040 KIT131040:KIV131040 KSP131040:KSR131040 LCL131040:LCN131040 LMH131040:LMJ131040 LWD131040:LWF131040 MFZ131040:MGB131040 MPV131040:MPX131040 MZR131040:MZT131040 NJN131040:NJP131040 NTJ131040:NTL131040 ODF131040:ODH131040 ONB131040:OND131040 OWX131040:OWZ131040 PGT131040:PGV131040 PQP131040:PQR131040 QAL131040:QAN131040 QKH131040:QKJ131040 QUD131040:QUF131040 RDZ131040:REB131040 RNV131040:RNX131040 RXR131040:RXT131040 SHN131040:SHP131040 SRJ131040:SRL131040 TBF131040:TBH131040 TLB131040:TLD131040 TUX131040:TUZ131040 UET131040:UEV131040 UOP131040:UOR131040 UYL131040:UYN131040 VIH131040:VIJ131040 VSD131040:VSF131040 WBZ131040:WCB131040 WLV131040:WLX131040 WVR131040:WVT131040 H131051:N131051 JF196576:JH196576 TB196576:TD196576 ACX196576:ACZ196576 AMT196576:AMV196576 AWP196576:AWR196576 BGL196576:BGN196576 BQH196576:BQJ196576 CAD196576:CAF196576 CJZ196576:CKB196576 CTV196576:CTX196576 DDR196576:DDT196576 DNN196576:DNP196576 DXJ196576:DXL196576 EHF196576:EHH196576 ERB196576:ERD196576 FAX196576:FAZ196576 FKT196576:FKV196576 FUP196576:FUR196576 GEL196576:GEN196576 GOH196576:GOJ196576 GYD196576:GYF196576 HHZ196576:HIB196576 HRV196576:HRX196576 IBR196576:IBT196576 ILN196576:ILP196576 IVJ196576:IVL196576 JFF196576:JFH196576 JPB196576:JPD196576 JYX196576:JYZ196576 KIT196576:KIV196576 KSP196576:KSR196576 LCL196576:LCN196576 LMH196576:LMJ196576 LWD196576:LWF196576 MFZ196576:MGB196576 MPV196576:MPX196576 MZR196576:MZT196576 NJN196576:NJP196576 NTJ196576:NTL196576 ODF196576:ODH196576 ONB196576:OND196576 OWX196576:OWZ196576 PGT196576:PGV196576 PQP196576:PQR196576 QAL196576:QAN196576 QKH196576:QKJ196576 QUD196576:QUF196576 RDZ196576:REB196576 RNV196576:RNX196576 RXR196576:RXT196576 SHN196576:SHP196576 SRJ196576:SRL196576 TBF196576:TBH196576 TLB196576:TLD196576 TUX196576:TUZ196576 UET196576:UEV196576 UOP196576:UOR196576 UYL196576:UYN196576 VIH196576:VIJ196576 VSD196576:VSF196576 WBZ196576:WCB196576 WLV196576:WLX196576 WVR196576:WVT196576 H196587:N196587 JF262112:JH262112 TB262112:TD262112 ACX262112:ACZ262112 AMT262112:AMV262112 AWP262112:AWR262112 BGL262112:BGN262112 BQH262112:BQJ262112 CAD262112:CAF262112 CJZ262112:CKB262112 CTV262112:CTX262112 DDR262112:DDT262112 DNN262112:DNP262112 DXJ262112:DXL262112 EHF262112:EHH262112 ERB262112:ERD262112 FAX262112:FAZ262112 FKT262112:FKV262112 FUP262112:FUR262112 GEL262112:GEN262112 GOH262112:GOJ262112 GYD262112:GYF262112 HHZ262112:HIB262112 HRV262112:HRX262112 IBR262112:IBT262112 ILN262112:ILP262112 IVJ262112:IVL262112 JFF262112:JFH262112 JPB262112:JPD262112 JYX262112:JYZ262112 KIT262112:KIV262112 KSP262112:KSR262112 LCL262112:LCN262112 LMH262112:LMJ262112 LWD262112:LWF262112 MFZ262112:MGB262112 MPV262112:MPX262112 MZR262112:MZT262112 NJN262112:NJP262112 NTJ262112:NTL262112 ODF262112:ODH262112 ONB262112:OND262112 OWX262112:OWZ262112 PGT262112:PGV262112 PQP262112:PQR262112 QAL262112:QAN262112 QKH262112:QKJ262112 QUD262112:QUF262112 RDZ262112:REB262112 RNV262112:RNX262112 RXR262112:RXT262112 SHN262112:SHP262112 SRJ262112:SRL262112 TBF262112:TBH262112 TLB262112:TLD262112 TUX262112:TUZ262112 UET262112:UEV262112 UOP262112:UOR262112 UYL262112:UYN262112 VIH262112:VIJ262112 VSD262112:VSF262112 WBZ262112:WCB262112 WLV262112:WLX262112 WVR262112:WVT262112 H262123:N262123 JF327648:JH327648 TB327648:TD327648 ACX327648:ACZ327648 AMT327648:AMV327648 AWP327648:AWR327648 BGL327648:BGN327648 BQH327648:BQJ327648 CAD327648:CAF327648 CJZ327648:CKB327648 CTV327648:CTX327648 DDR327648:DDT327648 DNN327648:DNP327648 DXJ327648:DXL327648 EHF327648:EHH327648 ERB327648:ERD327648 FAX327648:FAZ327648 FKT327648:FKV327648 FUP327648:FUR327648 GEL327648:GEN327648 GOH327648:GOJ327648 GYD327648:GYF327648 HHZ327648:HIB327648 HRV327648:HRX327648 IBR327648:IBT327648 ILN327648:ILP327648 IVJ327648:IVL327648 JFF327648:JFH327648 JPB327648:JPD327648 JYX327648:JYZ327648 KIT327648:KIV327648 KSP327648:KSR327648 LCL327648:LCN327648 LMH327648:LMJ327648 LWD327648:LWF327648 MFZ327648:MGB327648 MPV327648:MPX327648 MZR327648:MZT327648 NJN327648:NJP327648 NTJ327648:NTL327648 ODF327648:ODH327648 ONB327648:OND327648 OWX327648:OWZ327648 PGT327648:PGV327648 PQP327648:PQR327648 QAL327648:QAN327648 QKH327648:QKJ327648 QUD327648:QUF327648 RDZ327648:REB327648 RNV327648:RNX327648 RXR327648:RXT327648 SHN327648:SHP327648 SRJ327648:SRL327648 TBF327648:TBH327648 TLB327648:TLD327648 TUX327648:TUZ327648 UET327648:UEV327648 UOP327648:UOR327648 UYL327648:UYN327648 VIH327648:VIJ327648 VSD327648:VSF327648 WBZ327648:WCB327648 WLV327648:WLX327648 WVR327648:WVT327648 H327659:N327659 JF393184:JH393184 TB393184:TD393184 ACX393184:ACZ393184 AMT393184:AMV393184 AWP393184:AWR393184 BGL393184:BGN393184 BQH393184:BQJ393184 CAD393184:CAF393184 CJZ393184:CKB393184 CTV393184:CTX393184 DDR393184:DDT393184 DNN393184:DNP393184 DXJ393184:DXL393184 EHF393184:EHH393184 ERB393184:ERD393184 FAX393184:FAZ393184 FKT393184:FKV393184 FUP393184:FUR393184 GEL393184:GEN393184 GOH393184:GOJ393184 GYD393184:GYF393184 HHZ393184:HIB393184 HRV393184:HRX393184 IBR393184:IBT393184 ILN393184:ILP393184 IVJ393184:IVL393184 JFF393184:JFH393184 JPB393184:JPD393184 JYX393184:JYZ393184 KIT393184:KIV393184 KSP393184:KSR393184 LCL393184:LCN393184 LMH393184:LMJ393184 LWD393184:LWF393184 MFZ393184:MGB393184 MPV393184:MPX393184 MZR393184:MZT393184 NJN393184:NJP393184 NTJ393184:NTL393184 ODF393184:ODH393184 ONB393184:OND393184 OWX393184:OWZ393184 PGT393184:PGV393184 PQP393184:PQR393184 QAL393184:QAN393184 QKH393184:QKJ393184 QUD393184:QUF393184 RDZ393184:REB393184 RNV393184:RNX393184 RXR393184:RXT393184 SHN393184:SHP393184 SRJ393184:SRL393184 TBF393184:TBH393184 TLB393184:TLD393184 TUX393184:TUZ393184 UET393184:UEV393184 UOP393184:UOR393184 UYL393184:UYN393184 VIH393184:VIJ393184 VSD393184:VSF393184 WBZ393184:WCB393184 WLV393184:WLX393184 WVR393184:WVT393184 H393195:N393195 JF458720:JH458720 TB458720:TD458720 ACX458720:ACZ458720 AMT458720:AMV458720 AWP458720:AWR458720 BGL458720:BGN458720 BQH458720:BQJ458720 CAD458720:CAF458720 CJZ458720:CKB458720 CTV458720:CTX458720 DDR458720:DDT458720 DNN458720:DNP458720 DXJ458720:DXL458720 EHF458720:EHH458720 ERB458720:ERD458720 FAX458720:FAZ458720 FKT458720:FKV458720 FUP458720:FUR458720 GEL458720:GEN458720 GOH458720:GOJ458720 GYD458720:GYF458720 HHZ458720:HIB458720 HRV458720:HRX458720 IBR458720:IBT458720 ILN458720:ILP458720 IVJ458720:IVL458720 JFF458720:JFH458720 JPB458720:JPD458720 JYX458720:JYZ458720 KIT458720:KIV458720 KSP458720:KSR458720 LCL458720:LCN458720 LMH458720:LMJ458720 LWD458720:LWF458720 MFZ458720:MGB458720 MPV458720:MPX458720 MZR458720:MZT458720 NJN458720:NJP458720 NTJ458720:NTL458720 ODF458720:ODH458720 ONB458720:OND458720 OWX458720:OWZ458720 PGT458720:PGV458720 PQP458720:PQR458720 QAL458720:QAN458720 QKH458720:QKJ458720 QUD458720:QUF458720 RDZ458720:REB458720 RNV458720:RNX458720 RXR458720:RXT458720 SHN458720:SHP458720 SRJ458720:SRL458720 TBF458720:TBH458720 TLB458720:TLD458720 TUX458720:TUZ458720 UET458720:UEV458720 UOP458720:UOR458720 UYL458720:UYN458720 VIH458720:VIJ458720 VSD458720:VSF458720 WBZ458720:WCB458720 WLV458720:WLX458720 WVR458720:WVT458720 H458731:N458731 JF524256:JH524256 TB524256:TD524256 ACX524256:ACZ524256 AMT524256:AMV524256 AWP524256:AWR524256 BGL524256:BGN524256 BQH524256:BQJ524256 CAD524256:CAF524256 CJZ524256:CKB524256 CTV524256:CTX524256 DDR524256:DDT524256 DNN524256:DNP524256 DXJ524256:DXL524256 EHF524256:EHH524256 ERB524256:ERD524256 FAX524256:FAZ524256 FKT524256:FKV524256 FUP524256:FUR524256 GEL524256:GEN524256 GOH524256:GOJ524256 GYD524256:GYF524256 HHZ524256:HIB524256 HRV524256:HRX524256 IBR524256:IBT524256 ILN524256:ILP524256 IVJ524256:IVL524256 JFF524256:JFH524256 JPB524256:JPD524256 JYX524256:JYZ524256 KIT524256:KIV524256 KSP524256:KSR524256 LCL524256:LCN524256 LMH524256:LMJ524256 LWD524256:LWF524256 MFZ524256:MGB524256 MPV524256:MPX524256 MZR524256:MZT524256 NJN524256:NJP524256 NTJ524256:NTL524256 ODF524256:ODH524256 ONB524256:OND524256 OWX524256:OWZ524256 PGT524256:PGV524256 PQP524256:PQR524256 QAL524256:QAN524256 QKH524256:QKJ524256 QUD524256:QUF524256 RDZ524256:REB524256 RNV524256:RNX524256 RXR524256:RXT524256 SHN524256:SHP524256 SRJ524256:SRL524256 TBF524256:TBH524256 TLB524256:TLD524256 TUX524256:TUZ524256 UET524256:UEV524256 UOP524256:UOR524256 UYL524256:UYN524256 VIH524256:VIJ524256 VSD524256:VSF524256 WBZ524256:WCB524256 WLV524256:WLX524256 WVR524256:WVT524256 H524267:N524267 JF589792:JH589792 TB589792:TD589792 ACX589792:ACZ589792 AMT589792:AMV589792 AWP589792:AWR589792 BGL589792:BGN589792 BQH589792:BQJ589792 CAD589792:CAF589792 CJZ589792:CKB589792 CTV589792:CTX589792 DDR589792:DDT589792 DNN589792:DNP589792 DXJ589792:DXL589792 EHF589792:EHH589792 ERB589792:ERD589792 FAX589792:FAZ589792 FKT589792:FKV589792 FUP589792:FUR589792 GEL589792:GEN589792 GOH589792:GOJ589792 GYD589792:GYF589792 HHZ589792:HIB589792 HRV589792:HRX589792 IBR589792:IBT589792 ILN589792:ILP589792 IVJ589792:IVL589792 JFF589792:JFH589792 JPB589792:JPD589792 JYX589792:JYZ589792 KIT589792:KIV589792 KSP589792:KSR589792 LCL589792:LCN589792 LMH589792:LMJ589792 LWD589792:LWF589792 MFZ589792:MGB589792 MPV589792:MPX589792 MZR589792:MZT589792 NJN589792:NJP589792 NTJ589792:NTL589792 ODF589792:ODH589792 ONB589792:OND589792 OWX589792:OWZ589792 PGT589792:PGV589792 PQP589792:PQR589792 QAL589792:QAN589792 QKH589792:QKJ589792 QUD589792:QUF589792 RDZ589792:REB589792 RNV589792:RNX589792 RXR589792:RXT589792 SHN589792:SHP589792 SRJ589792:SRL589792 TBF589792:TBH589792 TLB589792:TLD589792 TUX589792:TUZ589792 UET589792:UEV589792 UOP589792:UOR589792 UYL589792:UYN589792 VIH589792:VIJ589792 VSD589792:VSF589792 WBZ589792:WCB589792 WLV589792:WLX589792 WVR589792:WVT589792 H589803:N589803 JF655328:JH655328 TB655328:TD655328 ACX655328:ACZ655328 AMT655328:AMV655328 AWP655328:AWR655328 BGL655328:BGN655328 BQH655328:BQJ655328 CAD655328:CAF655328 CJZ655328:CKB655328 CTV655328:CTX655328 DDR655328:DDT655328 DNN655328:DNP655328 DXJ655328:DXL655328 EHF655328:EHH655328 ERB655328:ERD655328 FAX655328:FAZ655328 FKT655328:FKV655328 FUP655328:FUR655328 GEL655328:GEN655328 GOH655328:GOJ655328 GYD655328:GYF655328 HHZ655328:HIB655328 HRV655328:HRX655328 IBR655328:IBT655328 ILN655328:ILP655328 IVJ655328:IVL655328 JFF655328:JFH655328 JPB655328:JPD655328 JYX655328:JYZ655328 KIT655328:KIV655328 KSP655328:KSR655328 LCL655328:LCN655328 LMH655328:LMJ655328 LWD655328:LWF655328 MFZ655328:MGB655328 MPV655328:MPX655328 MZR655328:MZT655328 NJN655328:NJP655328 NTJ655328:NTL655328 ODF655328:ODH655328 ONB655328:OND655328 OWX655328:OWZ655328 PGT655328:PGV655328 PQP655328:PQR655328 QAL655328:QAN655328 QKH655328:QKJ655328 QUD655328:QUF655328 RDZ655328:REB655328 RNV655328:RNX655328 RXR655328:RXT655328 SHN655328:SHP655328 SRJ655328:SRL655328 TBF655328:TBH655328 TLB655328:TLD655328 TUX655328:TUZ655328 UET655328:UEV655328 UOP655328:UOR655328 UYL655328:UYN655328 VIH655328:VIJ655328 VSD655328:VSF655328 WBZ655328:WCB655328 WLV655328:WLX655328 WVR655328:WVT655328 H655339:N655339 JF720864:JH720864 TB720864:TD720864 ACX720864:ACZ720864 AMT720864:AMV720864 AWP720864:AWR720864 BGL720864:BGN720864 BQH720864:BQJ720864 CAD720864:CAF720864 CJZ720864:CKB720864 CTV720864:CTX720864 DDR720864:DDT720864 DNN720864:DNP720864 DXJ720864:DXL720864 EHF720864:EHH720864 ERB720864:ERD720864 FAX720864:FAZ720864 FKT720864:FKV720864 FUP720864:FUR720864 GEL720864:GEN720864 GOH720864:GOJ720864 GYD720864:GYF720864 HHZ720864:HIB720864 HRV720864:HRX720864 IBR720864:IBT720864 ILN720864:ILP720864 IVJ720864:IVL720864 JFF720864:JFH720864 JPB720864:JPD720864 JYX720864:JYZ720864 KIT720864:KIV720864 KSP720864:KSR720864 LCL720864:LCN720864 LMH720864:LMJ720864 LWD720864:LWF720864 MFZ720864:MGB720864 MPV720864:MPX720864 MZR720864:MZT720864 NJN720864:NJP720864 NTJ720864:NTL720864 ODF720864:ODH720864 ONB720864:OND720864 OWX720864:OWZ720864 PGT720864:PGV720864 PQP720864:PQR720864 QAL720864:QAN720864 QKH720864:QKJ720864 QUD720864:QUF720864 RDZ720864:REB720864 RNV720864:RNX720864 RXR720864:RXT720864 SHN720864:SHP720864 SRJ720864:SRL720864 TBF720864:TBH720864 TLB720864:TLD720864 TUX720864:TUZ720864 UET720864:UEV720864 UOP720864:UOR720864 UYL720864:UYN720864 VIH720864:VIJ720864 VSD720864:VSF720864 WBZ720864:WCB720864 WLV720864:WLX720864 WVR720864:WVT720864 H720875:N720875 JF786400:JH786400 TB786400:TD786400 ACX786400:ACZ786400 AMT786400:AMV786400 AWP786400:AWR786400 BGL786400:BGN786400 BQH786400:BQJ786400 CAD786400:CAF786400 CJZ786400:CKB786400 CTV786400:CTX786400 DDR786400:DDT786400 DNN786400:DNP786400 DXJ786400:DXL786400 EHF786400:EHH786400 ERB786400:ERD786400 FAX786400:FAZ786400 FKT786400:FKV786400 FUP786400:FUR786400 GEL786400:GEN786400 GOH786400:GOJ786400 GYD786400:GYF786400 HHZ786400:HIB786400 HRV786400:HRX786400 IBR786400:IBT786400 ILN786400:ILP786400 IVJ786400:IVL786400 JFF786400:JFH786400 JPB786400:JPD786400 JYX786400:JYZ786400 KIT786400:KIV786400 KSP786400:KSR786400 LCL786400:LCN786400 LMH786400:LMJ786400 LWD786400:LWF786400 MFZ786400:MGB786400 MPV786400:MPX786400 MZR786400:MZT786400 NJN786400:NJP786400 NTJ786400:NTL786400 ODF786400:ODH786400 ONB786400:OND786400 OWX786400:OWZ786400 PGT786400:PGV786400 PQP786400:PQR786400 QAL786400:QAN786400 QKH786400:QKJ786400 QUD786400:QUF786400 RDZ786400:REB786400 RNV786400:RNX786400 RXR786400:RXT786400 SHN786400:SHP786400 SRJ786400:SRL786400 TBF786400:TBH786400 TLB786400:TLD786400 TUX786400:TUZ786400 UET786400:UEV786400 UOP786400:UOR786400 UYL786400:UYN786400 VIH786400:VIJ786400 VSD786400:VSF786400 WBZ786400:WCB786400 WLV786400:WLX786400 WVR786400:WVT786400 H786411:N786411 JF851936:JH851936 TB851936:TD851936 ACX851936:ACZ851936 AMT851936:AMV851936 AWP851936:AWR851936 BGL851936:BGN851936 BQH851936:BQJ851936 CAD851936:CAF851936 CJZ851936:CKB851936 CTV851936:CTX851936 DDR851936:DDT851936 DNN851936:DNP851936 DXJ851936:DXL851936 EHF851936:EHH851936 ERB851936:ERD851936 FAX851936:FAZ851936 FKT851936:FKV851936 FUP851936:FUR851936 GEL851936:GEN851936 GOH851936:GOJ851936 GYD851936:GYF851936 HHZ851936:HIB851936 HRV851936:HRX851936 IBR851936:IBT851936 ILN851936:ILP851936 IVJ851936:IVL851936 JFF851936:JFH851936 JPB851936:JPD851936 JYX851936:JYZ851936 KIT851936:KIV851936 KSP851936:KSR851936 LCL851936:LCN851936 LMH851936:LMJ851936 LWD851936:LWF851936 MFZ851936:MGB851936 MPV851936:MPX851936 MZR851936:MZT851936 NJN851936:NJP851936 NTJ851936:NTL851936 ODF851936:ODH851936 ONB851936:OND851936 OWX851936:OWZ851936 PGT851936:PGV851936 PQP851936:PQR851936 QAL851936:QAN851936 QKH851936:QKJ851936 QUD851936:QUF851936 RDZ851936:REB851936 RNV851936:RNX851936 RXR851936:RXT851936 SHN851936:SHP851936 SRJ851936:SRL851936 TBF851936:TBH851936 TLB851936:TLD851936 TUX851936:TUZ851936 UET851936:UEV851936 UOP851936:UOR851936 UYL851936:UYN851936 VIH851936:VIJ851936 VSD851936:VSF851936 WBZ851936:WCB851936 WLV851936:WLX851936 WVR851936:WVT851936 H851947:N851947 JF917472:JH917472 TB917472:TD917472 ACX917472:ACZ917472 AMT917472:AMV917472 AWP917472:AWR917472 BGL917472:BGN917472 BQH917472:BQJ917472 CAD917472:CAF917472 CJZ917472:CKB917472 CTV917472:CTX917472 DDR917472:DDT917472 DNN917472:DNP917472 DXJ917472:DXL917472 EHF917472:EHH917472 ERB917472:ERD917472 FAX917472:FAZ917472 FKT917472:FKV917472 FUP917472:FUR917472 GEL917472:GEN917472 GOH917472:GOJ917472 GYD917472:GYF917472 HHZ917472:HIB917472 HRV917472:HRX917472 IBR917472:IBT917472 ILN917472:ILP917472 IVJ917472:IVL917472 JFF917472:JFH917472 JPB917472:JPD917472 JYX917472:JYZ917472 KIT917472:KIV917472 KSP917472:KSR917472 LCL917472:LCN917472 LMH917472:LMJ917472 LWD917472:LWF917472 MFZ917472:MGB917472 MPV917472:MPX917472 MZR917472:MZT917472 NJN917472:NJP917472 NTJ917472:NTL917472 ODF917472:ODH917472 ONB917472:OND917472 OWX917472:OWZ917472 PGT917472:PGV917472 PQP917472:PQR917472 QAL917472:QAN917472 QKH917472:QKJ917472 QUD917472:QUF917472 RDZ917472:REB917472 RNV917472:RNX917472 RXR917472:RXT917472 SHN917472:SHP917472 SRJ917472:SRL917472 TBF917472:TBH917472 TLB917472:TLD917472 TUX917472:TUZ917472 UET917472:UEV917472 UOP917472:UOR917472 UYL917472:UYN917472 VIH917472:VIJ917472 VSD917472:VSF917472 WBZ917472:WCB917472 WLV917472:WLX917472 WVR917472:WVT917472 H917483:N917483 JF983008:JH983008 TB983008:TD983008 ACX983008:ACZ983008 AMT983008:AMV983008 AWP983008:AWR983008 BGL983008:BGN983008 BQH983008:BQJ983008 CAD983008:CAF983008 CJZ983008:CKB983008 CTV983008:CTX983008 DDR983008:DDT983008 DNN983008:DNP983008 DXJ983008:DXL983008 EHF983008:EHH983008 ERB983008:ERD983008 FAX983008:FAZ983008 FKT983008:FKV983008 FUP983008:FUR983008 GEL983008:GEN983008 GOH983008:GOJ983008 GYD983008:GYF983008 HHZ983008:HIB983008 HRV983008:HRX983008 IBR983008:IBT983008 ILN983008:ILP983008 IVJ983008:IVL983008 JFF983008:JFH983008 JPB983008:JPD983008 JYX983008:JYZ983008 KIT983008:KIV983008 KSP983008:KSR983008 LCL983008:LCN983008 LMH983008:LMJ983008 LWD983008:LWF983008 MFZ983008:MGB983008 MPV983008:MPX983008 MZR983008:MZT983008 NJN983008:NJP983008 NTJ983008:NTL983008 ODF983008:ODH983008 ONB983008:OND983008 OWX983008:OWZ983008 PGT983008:PGV983008 PQP983008:PQR983008 QAL983008:QAN983008 QKH983008:QKJ983008 QUD983008:QUF983008 RDZ983008:REB983008 RNV983008:RNX983008 RXR983008:RXT983008 SHN983008:SHP983008 SRJ983008:SRL983008 TBF983008:TBH983008 TLB983008:TLD983008 TUX983008:TUZ983008 UET983008:UEV983008 UOP983008:UOR983008 UYL983008:UYN983008 VIH983008:VIJ983008 VSD983008:VSF983008 WBZ983008:WCB983008 WLV983008:WLX983008 WVR983008:WVT983008 H983019:N983019">
      <formula1>"数字城管,权力阳光,政府信息化,平安城市,园区智能化,其它"</formula1>
    </dataValidation>
    <dataValidation type="list" allowBlank="1" showInputMessage="1" showErrorMessage="1" sqref="JJ2:JK2 TF2:TG2 ADB2:ADC2 AMX2:AMY2 AWT2:AWU2 BGP2:BGQ2 BQL2:BQM2 CAH2:CAI2 CKD2:CKE2 CTZ2:CUA2 DDV2:DDW2 DNR2:DNS2 DXN2:DXO2 EHJ2:EHK2 ERF2:ERG2 FBB2:FBC2 FKX2:FKY2 FUT2:FUU2 GEP2:GEQ2 GOL2:GOM2 GYH2:GYI2 HID2:HIE2 HRZ2:HSA2 IBV2:IBW2 ILR2:ILS2 IVN2:IVO2 JFJ2:JFK2 JPF2:JPG2 JZB2:JZC2 KIX2:KIY2 KST2:KSU2 LCP2:LCQ2 LML2:LMM2 LWH2:LWI2 MGD2:MGE2 MPZ2:MQA2 MZV2:MZW2 NJR2:NJS2 NTN2:NTO2 ODJ2:ODK2 ONF2:ONG2 OXB2:OXC2 PGX2:PGY2 PQT2:PQU2 QAP2:QAQ2 QKL2:QKM2 QUH2:QUI2 RED2:REE2 RNZ2:ROA2 RXV2:RXW2 SHR2:SHS2 SRN2:SRO2 TBJ2:TBK2 TLF2:TLG2 TVB2:TVC2 UEX2:UEY2 UOT2:UOU2 UYP2:UYQ2 VIL2:VIM2 VSH2:VSI2 WCD2:WCE2 WLZ2:WMA2 WVV2:WVW2 JJ65504:JK65504 TF65504:TG65504 ADB65504:ADC65504 AMX65504:AMY65504 AWT65504:AWU65504 BGP65504:BGQ65504 BQL65504:BQM65504 CAH65504:CAI65504 CKD65504:CKE65504 CTZ65504:CUA65504 DDV65504:DDW65504 DNR65504:DNS65504 DXN65504:DXO65504 EHJ65504:EHK65504 ERF65504:ERG65504 FBB65504:FBC65504 FKX65504:FKY65504 FUT65504:FUU65504 GEP65504:GEQ65504 GOL65504:GOM65504 GYH65504:GYI65504 HID65504:HIE65504 HRZ65504:HSA65504 IBV65504:IBW65504 ILR65504:ILS65504 IVN65504:IVO65504 JFJ65504:JFK65504 JPF65504:JPG65504 JZB65504:JZC65504 KIX65504:KIY65504 KST65504:KSU65504 LCP65504:LCQ65504 LML65504:LMM65504 LWH65504:LWI65504 MGD65504:MGE65504 MPZ65504:MQA65504 MZV65504:MZW65504 NJR65504:NJS65504 NTN65504:NTO65504 ODJ65504:ODK65504 ONF65504:ONG65504 OXB65504:OXC65504 PGX65504:PGY65504 PQT65504:PQU65504 QAP65504:QAQ65504 QKL65504:QKM65504 QUH65504:QUI65504 RED65504:REE65504 RNZ65504:ROA65504 RXV65504:RXW65504 SHR65504:SHS65504 SRN65504:SRO65504 TBJ65504:TBK65504 TLF65504:TLG65504 TVB65504:TVC65504 UEX65504:UEY65504 UOT65504:UOU65504 UYP65504:UYQ65504 VIL65504:VIM65504 VSH65504:VSI65504 WCD65504:WCE65504 WLZ65504:WMA65504 WVV65504:WVW65504 O65515:P65515 JJ131040:JK131040 TF131040:TG131040 ADB131040:ADC131040 AMX131040:AMY131040 AWT131040:AWU131040 BGP131040:BGQ131040 BQL131040:BQM131040 CAH131040:CAI131040 CKD131040:CKE131040 CTZ131040:CUA131040 DDV131040:DDW131040 DNR131040:DNS131040 DXN131040:DXO131040 EHJ131040:EHK131040 ERF131040:ERG131040 FBB131040:FBC131040 FKX131040:FKY131040 FUT131040:FUU131040 GEP131040:GEQ131040 GOL131040:GOM131040 GYH131040:GYI131040 HID131040:HIE131040 HRZ131040:HSA131040 IBV131040:IBW131040 ILR131040:ILS131040 IVN131040:IVO131040 JFJ131040:JFK131040 JPF131040:JPG131040 JZB131040:JZC131040 KIX131040:KIY131040 KST131040:KSU131040 LCP131040:LCQ131040 LML131040:LMM131040 LWH131040:LWI131040 MGD131040:MGE131040 MPZ131040:MQA131040 MZV131040:MZW131040 NJR131040:NJS131040 NTN131040:NTO131040 ODJ131040:ODK131040 ONF131040:ONG131040 OXB131040:OXC131040 PGX131040:PGY131040 PQT131040:PQU131040 QAP131040:QAQ131040 QKL131040:QKM131040 QUH131040:QUI131040 RED131040:REE131040 RNZ131040:ROA131040 RXV131040:RXW131040 SHR131040:SHS131040 SRN131040:SRO131040 TBJ131040:TBK131040 TLF131040:TLG131040 TVB131040:TVC131040 UEX131040:UEY131040 UOT131040:UOU131040 UYP131040:UYQ131040 VIL131040:VIM131040 VSH131040:VSI131040 WCD131040:WCE131040 WLZ131040:WMA131040 WVV131040:WVW131040 O131051:P131051 JJ196576:JK196576 TF196576:TG196576 ADB196576:ADC196576 AMX196576:AMY196576 AWT196576:AWU196576 BGP196576:BGQ196576 BQL196576:BQM196576 CAH196576:CAI196576 CKD196576:CKE196576 CTZ196576:CUA196576 DDV196576:DDW196576 DNR196576:DNS196576 DXN196576:DXO196576 EHJ196576:EHK196576 ERF196576:ERG196576 FBB196576:FBC196576 FKX196576:FKY196576 FUT196576:FUU196576 GEP196576:GEQ196576 GOL196576:GOM196576 GYH196576:GYI196576 HID196576:HIE196576 HRZ196576:HSA196576 IBV196576:IBW196576 ILR196576:ILS196576 IVN196576:IVO196576 JFJ196576:JFK196576 JPF196576:JPG196576 JZB196576:JZC196576 KIX196576:KIY196576 KST196576:KSU196576 LCP196576:LCQ196576 LML196576:LMM196576 LWH196576:LWI196576 MGD196576:MGE196576 MPZ196576:MQA196576 MZV196576:MZW196576 NJR196576:NJS196576 NTN196576:NTO196576 ODJ196576:ODK196576 ONF196576:ONG196576 OXB196576:OXC196576 PGX196576:PGY196576 PQT196576:PQU196576 QAP196576:QAQ196576 QKL196576:QKM196576 QUH196576:QUI196576 RED196576:REE196576 RNZ196576:ROA196576 RXV196576:RXW196576 SHR196576:SHS196576 SRN196576:SRO196576 TBJ196576:TBK196576 TLF196576:TLG196576 TVB196576:TVC196576 UEX196576:UEY196576 UOT196576:UOU196576 UYP196576:UYQ196576 VIL196576:VIM196576 VSH196576:VSI196576 WCD196576:WCE196576 WLZ196576:WMA196576 WVV196576:WVW196576 O196587:P196587 JJ262112:JK262112 TF262112:TG262112 ADB262112:ADC262112 AMX262112:AMY262112 AWT262112:AWU262112 BGP262112:BGQ262112 BQL262112:BQM262112 CAH262112:CAI262112 CKD262112:CKE262112 CTZ262112:CUA262112 DDV262112:DDW262112 DNR262112:DNS262112 DXN262112:DXO262112 EHJ262112:EHK262112 ERF262112:ERG262112 FBB262112:FBC262112 FKX262112:FKY262112 FUT262112:FUU262112 GEP262112:GEQ262112 GOL262112:GOM262112 GYH262112:GYI262112 HID262112:HIE262112 HRZ262112:HSA262112 IBV262112:IBW262112 ILR262112:ILS262112 IVN262112:IVO262112 JFJ262112:JFK262112 JPF262112:JPG262112 JZB262112:JZC262112 KIX262112:KIY262112 KST262112:KSU262112 LCP262112:LCQ262112 LML262112:LMM262112 LWH262112:LWI262112 MGD262112:MGE262112 MPZ262112:MQA262112 MZV262112:MZW262112 NJR262112:NJS262112 NTN262112:NTO262112 ODJ262112:ODK262112 ONF262112:ONG262112 OXB262112:OXC262112 PGX262112:PGY262112 PQT262112:PQU262112 QAP262112:QAQ262112 QKL262112:QKM262112 QUH262112:QUI262112 RED262112:REE262112 RNZ262112:ROA262112 RXV262112:RXW262112 SHR262112:SHS262112 SRN262112:SRO262112 TBJ262112:TBK262112 TLF262112:TLG262112 TVB262112:TVC262112 UEX262112:UEY262112 UOT262112:UOU262112 UYP262112:UYQ262112 VIL262112:VIM262112 VSH262112:VSI262112 WCD262112:WCE262112 WLZ262112:WMA262112 WVV262112:WVW262112 O262123:P262123 JJ327648:JK327648 TF327648:TG327648 ADB327648:ADC327648 AMX327648:AMY327648 AWT327648:AWU327648 BGP327648:BGQ327648 BQL327648:BQM327648 CAH327648:CAI327648 CKD327648:CKE327648 CTZ327648:CUA327648 DDV327648:DDW327648 DNR327648:DNS327648 DXN327648:DXO327648 EHJ327648:EHK327648 ERF327648:ERG327648 FBB327648:FBC327648 FKX327648:FKY327648 FUT327648:FUU327648 GEP327648:GEQ327648 GOL327648:GOM327648 GYH327648:GYI327648 HID327648:HIE327648 HRZ327648:HSA327648 IBV327648:IBW327648 ILR327648:ILS327648 IVN327648:IVO327648 JFJ327648:JFK327648 JPF327648:JPG327648 JZB327648:JZC327648 KIX327648:KIY327648 KST327648:KSU327648 LCP327648:LCQ327648 LML327648:LMM327648 LWH327648:LWI327648 MGD327648:MGE327648 MPZ327648:MQA327648 MZV327648:MZW327648 NJR327648:NJS327648 NTN327648:NTO327648 ODJ327648:ODK327648 ONF327648:ONG327648 OXB327648:OXC327648 PGX327648:PGY327648 PQT327648:PQU327648 QAP327648:QAQ327648 QKL327648:QKM327648 QUH327648:QUI327648 RED327648:REE327648 RNZ327648:ROA327648 RXV327648:RXW327648 SHR327648:SHS327648 SRN327648:SRO327648 TBJ327648:TBK327648 TLF327648:TLG327648 TVB327648:TVC327648 UEX327648:UEY327648 UOT327648:UOU327648 UYP327648:UYQ327648 VIL327648:VIM327648 VSH327648:VSI327648 WCD327648:WCE327648 WLZ327648:WMA327648 WVV327648:WVW327648 O327659:P327659 JJ393184:JK393184 TF393184:TG393184 ADB393184:ADC393184 AMX393184:AMY393184 AWT393184:AWU393184 BGP393184:BGQ393184 BQL393184:BQM393184 CAH393184:CAI393184 CKD393184:CKE393184 CTZ393184:CUA393184 DDV393184:DDW393184 DNR393184:DNS393184 DXN393184:DXO393184 EHJ393184:EHK393184 ERF393184:ERG393184 FBB393184:FBC393184 FKX393184:FKY393184 FUT393184:FUU393184 GEP393184:GEQ393184 GOL393184:GOM393184 GYH393184:GYI393184 HID393184:HIE393184 HRZ393184:HSA393184 IBV393184:IBW393184 ILR393184:ILS393184 IVN393184:IVO393184 JFJ393184:JFK393184 JPF393184:JPG393184 JZB393184:JZC393184 KIX393184:KIY393184 KST393184:KSU393184 LCP393184:LCQ393184 LML393184:LMM393184 LWH393184:LWI393184 MGD393184:MGE393184 MPZ393184:MQA393184 MZV393184:MZW393184 NJR393184:NJS393184 NTN393184:NTO393184 ODJ393184:ODK393184 ONF393184:ONG393184 OXB393184:OXC393184 PGX393184:PGY393184 PQT393184:PQU393184 QAP393184:QAQ393184 QKL393184:QKM393184 QUH393184:QUI393184 RED393184:REE393184 RNZ393184:ROA393184 RXV393184:RXW393184 SHR393184:SHS393184 SRN393184:SRO393184 TBJ393184:TBK393184 TLF393184:TLG393184 TVB393184:TVC393184 UEX393184:UEY393184 UOT393184:UOU393184 UYP393184:UYQ393184 VIL393184:VIM393184 VSH393184:VSI393184 WCD393184:WCE393184 WLZ393184:WMA393184 WVV393184:WVW393184 O393195:P393195 JJ458720:JK458720 TF458720:TG458720 ADB458720:ADC458720 AMX458720:AMY458720 AWT458720:AWU458720 BGP458720:BGQ458720 BQL458720:BQM458720 CAH458720:CAI458720 CKD458720:CKE458720 CTZ458720:CUA458720 DDV458720:DDW458720 DNR458720:DNS458720 DXN458720:DXO458720 EHJ458720:EHK458720 ERF458720:ERG458720 FBB458720:FBC458720 FKX458720:FKY458720 FUT458720:FUU458720 GEP458720:GEQ458720 GOL458720:GOM458720 GYH458720:GYI458720 HID458720:HIE458720 HRZ458720:HSA458720 IBV458720:IBW458720 ILR458720:ILS458720 IVN458720:IVO458720 JFJ458720:JFK458720 JPF458720:JPG458720 JZB458720:JZC458720 KIX458720:KIY458720 KST458720:KSU458720 LCP458720:LCQ458720 LML458720:LMM458720 LWH458720:LWI458720 MGD458720:MGE458720 MPZ458720:MQA458720 MZV458720:MZW458720 NJR458720:NJS458720 NTN458720:NTO458720 ODJ458720:ODK458720 ONF458720:ONG458720 OXB458720:OXC458720 PGX458720:PGY458720 PQT458720:PQU458720 QAP458720:QAQ458720 QKL458720:QKM458720 QUH458720:QUI458720 RED458720:REE458720 RNZ458720:ROA458720 RXV458720:RXW458720 SHR458720:SHS458720 SRN458720:SRO458720 TBJ458720:TBK458720 TLF458720:TLG458720 TVB458720:TVC458720 UEX458720:UEY458720 UOT458720:UOU458720 UYP458720:UYQ458720 VIL458720:VIM458720 VSH458720:VSI458720 WCD458720:WCE458720 WLZ458720:WMA458720 WVV458720:WVW458720 O458731:P458731 JJ524256:JK524256 TF524256:TG524256 ADB524256:ADC524256 AMX524256:AMY524256 AWT524256:AWU524256 BGP524256:BGQ524256 BQL524256:BQM524256 CAH524256:CAI524256 CKD524256:CKE524256 CTZ524256:CUA524256 DDV524256:DDW524256 DNR524256:DNS524256 DXN524256:DXO524256 EHJ524256:EHK524256 ERF524256:ERG524256 FBB524256:FBC524256 FKX524256:FKY524256 FUT524256:FUU524256 GEP524256:GEQ524256 GOL524256:GOM524256 GYH524256:GYI524256 HID524256:HIE524256 HRZ524256:HSA524256 IBV524256:IBW524256 ILR524256:ILS524256 IVN524256:IVO524256 JFJ524256:JFK524256 JPF524256:JPG524256 JZB524256:JZC524256 KIX524256:KIY524256 KST524256:KSU524256 LCP524256:LCQ524256 LML524256:LMM524256 LWH524256:LWI524256 MGD524256:MGE524256 MPZ524256:MQA524256 MZV524256:MZW524256 NJR524256:NJS524256 NTN524256:NTO524256 ODJ524256:ODK524256 ONF524256:ONG524256 OXB524256:OXC524256 PGX524256:PGY524256 PQT524256:PQU524256 QAP524256:QAQ524256 QKL524256:QKM524256 QUH524256:QUI524256 RED524256:REE524256 RNZ524256:ROA524256 RXV524256:RXW524256 SHR524256:SHS524256 SRN524256:SRO524256 TBJ524256:TBK524256 TLF524256:TLG524256 TVB524256:TVC524256 UEX524256:UEY524256 UOT524256:UOU524256 UYP524256:UYQ524256 VIL524256:VIM524256 VSH524256:VSI524256 WCD524256:WCE524256 WLZ524256:WMA524256 WVV524256:WVW524256 O524267:P524267 JJ589792:JK589792 TF589792:TG589792 ADB589792:ADC589792 AMX589792:AMY589792 AWT589792:AWU589792 BGP589792:BGQ589792 BQL589792:BQM589792 CAH589792:CAI589792 CKD589792:CKE589792 CTZ589792:CUA589792 DDV589792:DDW589792 DNR589792:DNS589792 DXN589792:DXO589792 EHJ589792:EHK589792 ERF589792:ERG589792 FBB589792:FBC589792 FKX589792:FKY589792 FUT589792:FUU589792 GEP589792:GEQ589792 GOL589792:GOM589792 GYH589792:GYI589792 HID589792:HIE589792 HRZ589792:HSA589792 IBV589792:IBW589792 ILR589792:ILS589792 IVN589792:IVO589792 JFJ589792:JFK589792 JPF589792:JPG589792 JZB589792:JZC589792 KIX589792:KIY589792 KST589792:KSU589792 LCP589792:LCQ589792 LML589792:LMM589792 LWH589792:LWI589792 MGD589792:MGE589792 MPZ589792:MQA589792 MZV589792:MZW589792 NJR589792:NJS589792 NTN589792:NTO589792 ODJ589792:ODK589792 ONF589792:ONG589792 OXB589792:OXC589792 PGX589792:PGY589792 PQT589792:PQU589792 QAP589792:QAQ589792 QKL589792:QKM589792 QUH589792:QUI589792 RED589792:REE589792 RNZ589792:ROA589792 RXV589792:RXW589792 SHR589792:SHS589792 SRN589792:SRO589792 TBJ589792:TBK589792 TLF589792:TLG589792 TVB589792:TVC589792 UEX589792:UEY589792 UOT589792:UOU589792 UYP589792:UYQ589792 VIL589792:VIM589792 VSH589792:VSI589792 WCD589792:WCE589792 WLZ589792:WMA589792 WVV589792:WVW589792 O589803:P589803 JJ655328:JK655328 TF655328:TG655328 ADB655328:ADC655328 AMX655328:AMY655328 AWT655328:AWU655328 BGP655328:BGQ655328 BQL655328:BQM655328 CAH655328:CAI655328 CKD655328:CKE655328 CTZ655328:CUA655328 DDV655328:DDW655328 DNR655328:DNS655328 DXN655328:DXO655328 EHJ655328:EHK655328 ERF655328:ERG655328 FBB655328:FBC655328 FKX655328:FKY655328 FUT655328:FUU655328 GEP655328:GEQ655328 GOL655328:GOM655328 GYH655328:GYI655328 HID655328:HIE655328 HRZ655328:HSA655328 IBV655328:IBW655328 ILR655328:ILS655328 IVN655328:IVO655328 JFJ655328:JFK655328 JPF655328:JPG655328 JZB655328:JZC655328 KIX655328:KIY655328 KST655328:KSU655328 LCP655328:LCQ655328 LML655328:LMM655328 LWH655328:LWI655328 MGD655328:MGE655328 MPZ655328:MQA655328 MZV655328:MZW655328 NJR655328:NJS655328 NTN655328:NTO655328 ODJ655328:ODK655328 ONF655328:ONG655328 OXB655328:OXC655328 PGX655328:PGY655328 PQT655328:PQU655328 QAP655328:QAQ655328 QKL655328:QKM655328 QUH655328:QUI655328 RED655328:REE655328 RNZ655328:ROA655328 RXV655328:RXW655328 SHR655328:SHS655328 SRN655328:SRO655328 TBJ655328:TBK655328 TLF655328:TLG655328 TVB655328:TVC655328 UEX655328:UEY655328 UOT655328:UOU655328 UYP655328:UYQ655328 VIL655328:VIM655328 VSH655328:VSI655328 WCD655328:WCE655328 WLZ655328:WMA655328 WVV655328:WVW655328 O655339:P655339 JJ720864:JK720864 TF720864:TG720864 ADB720864:ADC720864 AMX720864:AMY720864 AWT720864:AWU720864 BGP720864:BGQ720864 BQL720864:BQM720864 CAH720864:CAI720864 CKD720864:CKE720864 CTZ720864:CUA720864 DDV720864:DDW720864 DNR720864:DNS720864 DXN720864:DXO720864 EHJ720864:EHK720864 ERF720864:ERG720864 FBB720864:FBC720864 FKX720864:FKY720864 FUT720864:FUU720864 GEP720864:GEQ720864 GOL720864:GOM720864 GYH720864:GYI720864 HID720864:HIE720864 HRZ720864:HSA720864 IBV720864:IBW720864 ILR720864:ILS720864 IVN720864:IVO720864 JFJ720864:JFK720864 JPF720864:JPG720864 JZB720864:JZC720864 KIX720864:KIY720864 KST720864:KSU720864 LCP720864:LCQ720864 LML720864:LMM720864 LWH720864:LWI720864 MGD720864:MGE720864 MPZ720864:MQA720864 MZV720864:MZW720864 NJR720864:NJS720864 NTN720864:NTO720864 ODJ720864:ODK720864 ONF720864:ONG720864 OXB720864:OXC720864 PGX720864:PGY720864 PQT720864:PQU720864 QAP720864:QAQ720864 QKL720864:QKM720864 QUH720864:QUI720864 RED720864:REE720864 RNZ720864:ROA720864 RXV720864:RXW720864 SHR720864:SHS720864 SRN720864:SRO720864 TBJ720864:TBK720864 TLF720864:TLG720864 TVB720864:TVC720864 UEX720864:UEY720864 UOT720864:UOU720864 UYP720864:UYQ720864 VIL720864:VIM720864 VSH720864:VSI720864 WCD720864:WCE720864 WLZ720864:WMA720864 WVV720864:WVW720864 O720875:P720875 JJ786400:JK786400 TF786400:TG786400 ADB786400:ADC786400 AMX786400:AMY786400 AWT786400:AWU786400 BGP786400:BGQ786400 BQL786400:BQM786400 CAH786400:CAI786400 CKD786400:CKE786400 CTZ786400:CUA786400 DDV786400:DDW786400 DNR786400:DNS786400 DXN786400:DXO786400 EHJ786400:EHK786400 ERF786400:ERG786400 FBB786400:FBC786400 FKX786400:FKY786400 FUT786400:FUU786400 GEP786400:GEQ786400 GOL786400:GOM786400 GYH786400:GYI786400 HID786400:HIE786400 HRZ786400:HSA786400 IBV786400:IBW786400 ILR786400:ILS786400 IVN786400:IVO786400 JFJ786400:JFK786400 JPF786400:JPG786400 JZB786400:JZC786400 KIX786400:KIY786400 KST786400:KSU786400 LCP786400:LCQ786400 LML786400:LMM786400 LWH786400:LWI786400 MGD786400:MGE786400 MPZ786400:MQA786400 MZV786400:MZW786400 NJR786400:NJS786400 NTN786400:NTO786400 ODJ786400:ODK786400 ONF786400:ONG786400 OXB786400:OXC786400 PGX786400:PGY786400 PQT786400:PQU786400 QAP786400:QAQ786400 QKL786400:QKM786400 QUH786400:QUI786400 RED786400:REE786400 RNZ786400:ROA786400 RXV786400:RXW786400 SHR786400:SHS786400 SRN786400:SRO786400 TBJ786400:TBK786400 TLF786400:TLG786400 TVB786400:TVC786400 UEX786400:UEY786400 UOT786400:UOU786400 UYP786400:UYQ786400 VIL786400:VIM786400 VSH786400:VSI786400 WCD786400:WCE786400 WLZ786400:WMA786400 WVV786400:WVW786400 O786411:P786411 JJ851936:JK851936 TF851936:TG851936 ADB851936:ADC851936 AMX851936:AMY851936 AWT851936:AWU851936 BGP851936:BGQ851936 BQL851936:BQM851936 CAH851936:CAI851936 CKD851936:CKE851936 CTZ851936:CUA851936 DDV851936:DDW851936 DNR851936:DNS851936 DXN851936:DXO851936 EHJ851936:EHK851936 ERF851936:ERG851936 FBB851936:FBC851936 FKX851936:FKY851936 FUT851936:FUU851936 GEP851936:GEQ851936 GOL851936:GOM851936 GYH851936:GYI851936 HID851936:HIE851936 HRZ851936:HSA851936 IBV851936:IBW851936 ILR851936:ILS851936 IVN851936:IVO851936 JFJ851936:JFK851936 JPF851936:JPG851936 JZB851936:JZC851936 KIX851936:KIY851936 KST851936:KSU851936 LCP851936:LCQ851936 LML851936:LMM851936 LWH851936:LWI851936 MGD851936:MGE851936 MPZ851936:MQA851936 MZV851936:MZW851936 NJR851936:NJS851936 NTN851936:NTO851936 ODJ851936:ODK851936 ONF851936:ONG851936 OXB851936:OXC851936 PGX851936:PGY851936 PQT851936:PQU851936 QAP851936:QAQ851936 QKL851936:QKM851936 QUH851936:QUI851936 RED851936:REE851936 RNZ851936:ROA851936 RXV851936:RXW851936 SHR851936:SHS851936 SRN851936:SRO851936 TBJ851936:TBK851936 TLF851936:TLG851936 TVB851936:TVC851936 UEX851936:UEY851936 UOT851936:UOU851936 UYP851936:UYQ851936 VIL851936:VIM851936 VSH851936:VSI851936 WCD851936:WCE851936 WLZ851936:WMA851936 WVV851936:WVW851936 O851947:P851947 JJ917472:JK917472 TF917472:TG917472 ADB917472:ADC917472 AMX917472:AMY917472 AWT917472:AWU917472 BGP917472:BGQ917472 BQL917472:BQM917472 CAH917472:CAI917472 CKD917472:CKE917472 CTZ917472:CUA917472 DDV917472:DDW917472 DNR917472:DNS917472 DXN917472:DXO917472 EHJ917472:EHK917472 ERF917472:ERG917472 FBB917472:FBC917472 FKX917472:FKY917472 FUT917472:FUU917472 GEP917472:GEQ917472 GOL917472:GOM917472 GYH917472:GYI917472 HID917472:HIE917472 HRZ917472:HSA917472 IBV917472:IBW917472 ILR917472:ILS917472 IVN917472:IVO917472 JFJ917472:JFK917472 JPF917472:JPG917472 JZB917472:JZC917472 KIX917472:KIY917472 KST917472:KSU917472 LCP917472:LCQ917472 LML917472:LMM917472 LWH917472:LWI917472 MGD917472:MGE917472 MPZ917472:MQA917472 MZV917472:MZW917472 NJR917472:NJS917472 NTN917472:NTO917472 ODJ917472:ODK917472 ONF917472:ONG917472 OXB917472:OXC917472 PGX917472:PGY917472 PQT917472:PQU917472 QAP917472:QAQ917472 QKL917472:QKM917472 QUH917472:QUI917472 RED917472:REE917472 RNZ917472:ROA917472 RXV917472:RXW917472 SHR917472:SHS917472 SRN917472:SRO917472 TBJ917472:TBK917472 TLF917472:TLG917472 TVB917472:TVC917472 UEX917472:UEY917472 UOT917472:UOU917472 UYP917472:UYQ917472 VIL917472:VIM917472 VSH917472:VSI917472 WCD917472:WCE917472 WLZ917472:WMA917472 WVV917472:WVW917472 O917483:P917483 JJ983008:JK983008 TF983008:TG983008 ADB983008:ADC983008 AMX983008:AMY983008 AWT983008:AWU983008 BGP983008:BGQ983008 BQL983008:BQM983008 CAH983008:CAI983008 CKD983008:CKE983008 CTZ983008:CUA983008 DDV983008:DDW983008 DNR983008:DNS983008 DXN983008:DXO983008 EHJ983008:EHK983008 ERF983008:ERG983008 FBB983008:FBC983008 FKX983008:FKY983008 FUT983008:FUU983008 GEP983008:GEQ983008 GOL983008:GOM983008 GYH983008:GYI983008 HID983008:HIE983008 HRZ983008:HSA983008 IBV983008:IBW983008 ILR983008:ILS983008 IVN983008:IVO983008 JFJ983008:JFK983008 JPF983008:JPG983008 JZB983008:JZC983008 KIX983008:KIY983008 KST983008:KSU983008 LCP983008:LCQ983008 LML983008:LMM983008 LWH983008:LWI983008 MGD983008:MGE983008 MPZ983008:MQA983008 MZV983008:MZW983008 NJR983008:NJS983008 NTN983008:NTO983008 ODJ983008:ODK983008 ONF983008:ONG983008 OXB983008:OXC983008 PGX983008:PGY983008 PQT983008:PQU983008 QAP983008:QAQ983008 QKL983008:QKM983008 QUH983008:QUI983008 RED983008:REE983008 RNZ983008:ROA983008 RXV983008:RXW983008 SHR983008:SHS983008 SRN983008:SRO983008 TBJ983008:TBK983008 TLF983008:TLG983008 TVB983008:TVC983008 UEX983008:UEY983008 UOT983008:UOU983008 UYP983008:UYQ983008 VIL983008:VIM983008 VSH983008:VSI983008 WCD983008:WCE983008 WLZ983008:WMA983008 WVV983008:WVW983008 O983019:P983019">
      <formula1>"移动公司,业务单位"</formula1>
    </dataValidation>
  </dataValidations>
  <pageMargins left="0.7" right="0.7" top="0.75" bottom="0.75" header="0.3" footer="0.3"/>
  <pageSetup paperSize="9" orientation="portrait"/>
  <headerFooter/>
  <ignoredErrors>
    <ignoredError sqref="E51" formulaRange="1" unlockedFormula="1"/>
    <ignoredError sqref="C49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8"/>
  <sheetViews>
    <sheetView zoomScale="115" zoomScaleNormal="115" workbookViewId="0">
      <selection activeCell="I34" sqref="I34"/>
    </sheetView>
  </sheetViews>
  <sheetFormatPr defaultColWidth="9" defaultRowHeight="16.8" outlineLevelRow="7"/>
  <cols>
    <col min="1" max="1" width="22.0480769230769" customWidth="1"/>
    <col min="5" max="5" width="9.44230769230769" customWidth="1"/>
  </cols>
  <sheetData>
    <row r="1" ht="20.4" spans="1:9">
      <c r="A1" s="16" t="s">
        <v>202</v>
      </c>
      <c r="B1" s="16"/>
      <c r="C1" s="16"/>
      <c r="D1" s="16"/>
      <c r="E1" s="16"/>
      <c r="F1" s="16"/>
      <c r="G1" s="16"/>
      <c r="H1" s="16"/>
      <c r="I1" s="17"/>
    </row>
    <row r="3" ht="30" customHeight="1" spans="1:9">
      <c r="A3" s="18" t="s">
        <v>203</v>
      </c>
      <c r="B3" s="18" t="s">
        <v>204</v>
      </c>
      <c r="C3" s="18"/>
      <c r="D3" s="19" t="s">
        <v>205</v>
      </c>
      <c r="E3" s="19"/>
      <c r="F3" s="18" t="s">
        <v>206</v>
      </c>
      <c r="G3" s="18"/>
      <c r="H3" s="18" t="s">
        <v>207</v>
      </c>
      <c r="I3" s="18"/>
    </row>
    <row r="4" spans="1:9">
      <c r="A4" s="20" t="s">
        <v>142</v>
      </c>
      <c r="B4" s="21" t="s">
        <v>208</v>
      </c>
      <c r="C4" s="21"/>
      <c r="D4" s="21" t="s">
        <v>208</v>
      </c>
      <c r="E4" s="21"/>
      <c r="F4" s="21" t="s">
        <v>208</v>
      </c>
      <c r="G4" s="21"/>
      <c r="H4" s="21">
        <v>1</v>
      </c>
      <c r="I4" s="21"/>
    </row>
    <row r="5" spans="1:9">
      <c r="A5" s="20" t="s">
        <v>209</v>
      </c>
      <c r="B5" s="21"/>
      <c r="C5" s="21"/>
      <c r="D5" s="21"/>
      <c r="E5" s="21"/>
      <c r="F5" s="21"/>
      <c r="G5" s="21"/>
      <c r="H5" s="21"/>
      <c r="I5" s="21"/>
    </row>
    <row r="6" spans="1:9">
      <c r="A6" s="20" t="s">
        <v>210</v>
      </c>
      <c r="B6" s="21"/>
      <c r="C6" s="21"/>
      <c r="D6" s="21"/>
      <c r="E6" s="21"/>
      <c r="F6" s="21"/>
      <c r="G6" s="21"/>
      <c r="H6" s="21"/>
      <c r="I6" s="21"/>
    </row>
    <row r="7" spans="1:9">
      <c r="A7" s="20" t="s">
        <v>211</v>
      </c>
      <c r="B7" s="21"/>
      <c r="C7" s="21"/>
      <c r="D7" s="21"/>
      <c r="E7" s="21"/>
      <c r="F7" s="21"/>
      <c r="G7" s="21"/>
      <c r="H7" s="21"/>
      <c r="I7" s="21"/>
    </row>
    <row r="8" spans="1:9">
      <c r="A8" s="22" t="s">
        <v>212</v>
      </c>
      <c r="B8" s="21"/>
      <c r="C8" s="21"/>
      <c r="D8" s="21"/>
      <c r="E8" s="21"/>
      <c r="F8" s="21"/>
      <c r="G8" s="21"/>
      <c r="H8" s="21"/>
      <c r="I8" s="21"/>
    </row>
  </sheetData>
  <mergeCells count="24"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24"/>
  <sheetViews>
    <sheetView workbookViewId="0">
      <selection activeCell="E21" sqref="E21:F21"/>
    </sheetView>
  </sheetViews>
  <sheetFormatPr defaultColWidth="9" defaultRowHeight="16.8" outlineLevelCol="3"/>
  <cols>
    <col min="1" max="1" width="9" style="1"/>
    <col min="2" max="2" width="13.0769230769231" style="1" customWidth="1"/>
    <col min="3" max="3" width="54.8846153846154" style="1" customWidth="1"/>
    <col min="4" max="4" width="55.4423076923077" style="1" customWidth="1"/>
    <col min="5" max="16384" width="9" style="1"/>
  </cols>
  <sheetData>
    <row r="1" s="1" customFormat="1" ht="17" spans="1:4">
      <c r="A1" s="2" t="s">
        <v>213</v>
      </c>
      <c r="B1" s="2"/>
      <c r="C1" s="2" t="s">
        <v>214</v>
      </c>
      <c r="D1" s="2" t="s">
        <v>215</v>
      </c>
    </row>
    <row r="2" s="1" customFormat="1" ht="68" spans="1:4">
      <c r="A2" s="3" t="s">
        <v>216</v>
      </c>
      <c r="B2" s="4" t="s">
        <v>209</v>
      </c>
      <c r="C2" s="5" t="s">
        <v>217</v>
      </c>
      <c r="D2" s="6" t="s">
        <v>218</v>
      </c>
    </row>
    <row r="3" s="1" customFormat="1" ht="78" customHeight="1" spans="1:4">
      <c r="A3" s="7"/>
      <c r="B3" s="4" t="s">
        <v>219</v>
      </c>
      <c r="C3" s="6" t="s">
        <v>220</v>
      </c>
      <c r="D3" s="8" t="s">
        <v>221</v>
      </c>
    </row>
    <row r="4" s="1" customFormat="1" ht="42" customHeight="1" spans="1:4">
      <c r="A4" s="7"/>
      <c r="B4" s="4" t="s">
        <v>222</v>
      </c>
      <c r="C4" s="6" t="s">
        <v>223</v>
      </c>
      <c r="D4" s="6" t="s">
        <v>224</v>
      </c>
    </row>
    <row r="5" s="1" customFormat="1" ht="51" spans="1:4">
      <c r="A5" s="9"/>
      <c r="B5" s="4" t="s">
        <v>225</v>
      </c>
      <c r="C5" s="6" t="s">
        <v>226</v>
      </c>
      <c r="D5" s="8" t="s">
        <v>227</v>
      </c>
    </row>
    <row r="6" s="1" customFormat="1" ht="17" spans="1:4">
      <c r="A6" s="10" t="s">
        <v>228</v>
      </c>
      <c r="B6" s="10" t="s">
        <v>228</v>
      </c>
      <c r="C6" s="6" t="s">
        <v>229</v>
      </c>
      <c r="D6" s="6" t="s">
        <v>230</v>
      </c>
    </row>
    <row r="7" s="1" customFormat="1" ht="17" spans="1:4">
      <c r="A7" s="10"/>
      <c r="B7" s="10" t="s">
        <v>231</v>
      </c>
      <c r="C7" s="6" t="s">
        <v>229</v>
      </c>
      <c r="D7" s="6" t="s">
        <v>230</v>
      </c>
    </row>
    <row r="8" s="1" customFormat="1" ht="17" spans="1:4">
      <c r="A8" s="10"/>
      <c r="B8" s="7" t="s">
        <v>232</v>
      </c>
      <c r="C8" s="6" t="s">
        <v>233</v>
      </c>
      <c r="D8" s="6" t="s">
        <v>234</v>
      </c>
    </row>
    <row r="9" s="1" customFormat="1" ht="55" customHeight="1" spans="1:4">
      <c r="A9" s="10" t="s">
        <v>235</v>
      </c>
      <c r="B9" s="10"/>
      <c r="C9" s="8" t="s">
        <v>236</v>
      </c>
      <c r="D9" s="6" t="s">
        <v>237</v>
      </c>
    </row>
    <row r="10" s="1" customFormat="1" ht="17" spans="1:4">
      <c r="A10" s="10" t="s">
        <v>238</v>
      </c>
      <c r="B10" s="10"/>
      <c r="C10" s="6" t="s">
        <v>239</v>
      </c>
      <c r="D10" s="6" t="s">
        <v>239</v>
      </c>
    </row>
    <row r="11" s="1" customFormat="1" ht="28" customHeight="1" spans="1:4">
      <c r="A11" s="10" t="s">
        <v>211</v>
      </c>
      <c r="B11" s="10"/>
      <c r="C11" s="8" t="s">
        <v>240</v>
      </c>
      <c r="D11" s="6" t="s">
        <v>241</v>
      </c>
    </row>
    <row r="12" s="1" customFormat="1" ht="51" spans="1:4">
      <c r="A12" s="4" t="s">
        <v>242</v>
      </c>
      <c r="B12" s="4"/>
      <c r="C12" s="8" t="s">
        <v>243</v>
      </c>
      <c r="D12" s="6" t="s">
        <v>244</v>
      </c>
    </row>
    <row r="13" s="1" customFormat="1" ht="84" spans="1:4">
      <c r="A13" s="4" t="s">
        <v>245</v>
      </c>
      <c r="B13" s="4"/>
      <c r="C13" s="8" t="s">
        <v>246</v>
      </c>
      <c r="D13" s="6" t="s">
        <v>247</v>
      </c>
    </row>
    <row r="14" s="1" customFormat="1" ht="17" spans="1:4">
      <c r="A14" s="4" t="s">
        <v>248</v>
      </c>
      <c r="B14" s="4"/>
      <c r="C14" s="6" t="s">
        <v>249</v>
      </c>
      <c r="D14" s="6" t="s">
        <v>250</v>
      </c>
    </row>
    <row r="15" s="1" customFormat="1" ht="17" spans="1:4">
      <c r="A15" s="10" t="s">
        <v>210</v>
      </c>
      <c r="B15" s="10"/>
      <c r="C15" s="6" t="s">
        <v>251</v>
      </c>
      <c r="D15" s="6" t="s">
        <v>252</v>
      </c>
    </row>
    <row r="16" s="1" customFormat="1" ht="34" spans="1:4">
      <c r="A16" s="11" t="s">
        <v>253</v>
      </c>
      <c r="B16" s="11"/>
      <c r="C16" s="12" t="s">
        <v>254</v>
      </c>
      <c r="D16" s="13" t="s">
        <v>255</v>
      </c>
    </row>
    <row r="17" s="1" customFormat="1" ht="17" spans="1:4">
      <c r="A17" s="10" t="s">
        <v>256</v>
      </c>
      <c r="B17" s="10"/>
      <c r="C17" s="6" t="s">
        <v>257</v>
      </c>
      <c r="D17" s="6" t="s">
        <v>258</v>
      </c>
    </row>
    <row r="18" s="1" customFormat="1" ht="34" spans="1:4">
      <c r="A18" s="10" t="s">
        <v>259</v>
      </c>
      <c r="B18" s="10"/>
      <c r="C18" s="6" t="s">
        <v>260</v>
      </c>
      <c r="D18" s="6" t="s">
        <v>261</v>
      </c>
    </row>
    <row r="19" s="1" customFormat="1" ht="17" spans="1:4">
      <c r="A19" s="10" t="s">
        <v>262</v>
      </c>
      <c r="B19" s="10"/>
      <c r="C19" s="6" t="s">
        <v>263</v>
      </c>
      <c r="D19" s="6" t="s">
        <v>264</v>
      </c>
    </row>
    <row r="20" s="1" customFormat="1" ht="34" spans="1:4">
      <c r="A20" s="10" t="s">
        <v>265</v>
      </c>
      <c r="B20" s="10"/>
      <c r="C20" s="6" t="s">
        <v>266</v>
      </c>
      <c r="D20" s="6" t="s">
        <v>266</v>
      </c>
    </row>
    <row r="21" s="1" customFormat="1" ht="34" spans="1:4">
      <c r="A21" s="10" t="s">
        <v>267</v>
      </c>
      <c r="B21" s="11" t="s">
        <v>268</v>
      </c>
      <c r="C21" s="12" t="s">
        <v>254</v>
      </c>
      <c r="D21" s="13" t="s">
        <v>269</v>
      </c>
    </row>
    <row r="22" s="1" customFormat="1" ht="34" spans="1:4">
      <c r="A22" s="10"/>
      <c r="B22" s="11" t="s">
        <v>270</v>
      </c>
      <c r="C22" s="12" t="s">
        <v>254</v>
      </c>
      <c r="D22" s="13" t="s">
        <v>271</v>
      </c>
    </row>
    <row r="23" s="1" customFormat="1" ht="15" customHeight="1" spans="1:4">
      <c r="A23" s="10"/>
      <c r="B23" s="10" t="s">
        <v>272</v>
      </c>
      <c r="C23" s="6" t="s">
        <v>273</v>
      </c>
      <c r="D23" s="6" t="s">
        <v>274</v>
      </c>
    </row>
    <row r="24" s="1" customFormat="1" ht="17" spans="1:4">
      <c r="A24" s="14" t="s">
        <v>275</v>
      </c>
      <c r="B24" s="15"/>
      <c r="C24" s="6" t="s">
        <v>276</v>
      </c>
      <c r="D24" s="6" t="s">
        <v>277</v>
      </c>
    </row>
  </sheetData>
  <mergeCells count="17">
    <mergeCell ref="A1:B1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4:B24"/>
    <mergeCell ref="A2:A5"/>
    <mergeCell ref="A6:A8"/>
    <mergeCell ref="A21:A2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3" master="" otherUserPermission="visible"/>
  <rangeList sheetStid="5" master="" otherUserPermission="visible"/>
  <rangeList sheetStid="11" master="" otherUserPermission="visible">
    <arrUserId title="区域2_2" rangeCreator="" othersAccessPermission="edit"/>
    <arrUserId title="区域1_2" rangeCreator="" othersAccessPermission="edit"/>
    <arrUserId title="区域2_2_1" rangeCreator="" othersAccessPermission="edit"/>
    <arrUserId title="区域2_2_2" rangeCreator="" othersAccessPermission="edit"/>
    <arrUserId title="区域2_2_3" rangeCreator="" othersAccessPermission="edit"/>
  </rangeList>
  <rangeList sheetStid="12" master="" otherUserPermission="visible"/>
  <rangeList sheetStid="1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1-填表说明和指标解释</vt:lpstr>
      <vt:lpstr>2-ICT项目评估结果</vt:lpstr>
      <vt:lpstr>3-直接经济效益评估表</vt:lpstr>
      <vt:lpstr>4-专线及各产品预算表</vt:lpstr>
      <vt:lpstr>5-标准产品投入和公允价值核算细则（如有更新，以更新后的规则）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phoenixl</dc:creator>
  <cp:lastModifiedBy>元芳</cp:lastModifiedBy>
  <dcterms:created xsi:type="dcterms:W3CDTF">2011-10-26T16:01:00Z</dcterms:created>
  <cp:lastPrinted>2014-04-02T16:38:00Z</cp:lastPrinted>
  <dcterms:modified xsi:type="dcterms:W3CDTF">2026-04-10T09:16:04Z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2052-12.1.24709.24709</vt:lpwstr>
  </property>
  <property fmtid="{D5CDD505-2E9C-101B-9397-08002B2CF9AE}" pid="3" name="ICV">
    <vt:lpwstr>C03F8EFABEB2AE09544FD869940ACD5B_43</vt:lpwstr>
  </property>
  <property fmtid="{D5CDD505-2E9C-101B-9397-08002B2CF9AE}" pid="4" name="CalculationRule">
    <vt:i4>0</vt:i4>
  </property>
</Properties>
</file>